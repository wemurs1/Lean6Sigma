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 Courses\Certified Lean Six Green Belt\"/>
    </mc:Choice>
  </mc:AlternateContent>
  <xr:revisionPtr revIDLastSave="0" documentId="13_ncr:1_{1499721A-DD1E-4769-958B-7434181F1C8E}" xr6:coauthVersionLast="47" xr6:coauthVersionMax="47" xr10:uidLastSave="{00000000-0000-0000-0000-000000000000}"/>
  <bookViews>
    <workbookView xWindow="-120" yWindow="-120" windowWidth="29040" windowHeight="15840" activeTab="1" xr2:uid="{416D8219-81AE-407F-89B6-A69E66734DBE}"/>
  </bookViews>
  <sheets>
    <sheet name="Cover Page" sheetId="1" r:id="rId1"/>
    <sheet name="2022 YTD" sheetId="2" r:id="rId2"/>
  </sheets>
  <externalReferences>
    <externalReference r:id="rId3"/>
  </externalReferences>
  <definedNames>
    <definedName name="_xlnm.Print_Area" localSheetId="0">'Cover Page'!$A$1:$E$46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2" l="1"/>
  <c r="E16" i="2"/>
  <c r="D16" i="2"/>
  <c r="C16" i="2"/>
  <c r="B16" i="2"/>
  <c r="H14" i="2"/>
  <c r="H13" i="2"/>
  <c r="H12" i="2"/>
  <c r="H11" i="2"/>
  <c r="H10" i="2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D42" i="1"/>
  <c r="E42" i="1" s="1"/>
  <c r="E41" i="1"/>
  <c r="E40" i="1"/>
  <c r="E39" i="1"/>
  <c r="E38" i="1"/>
  <c r="E37" i="1"/>
  <c r="E36" i="1"/>
  <c r="E32" i="1"/>
  <c r="E31" i="1"/>
  <c r="E30" i="1"/>
  <c r="E29" i="1"/>
  <c r="E28" i="1"/>
  <c r="E27" i="1"/>
  <c r="E26" i="1"/>
  <c r="E25" i="1"/>
  <c r="E24" i="1"/>
  <c r="D33" i="1"/>
  <c r="E33" i="1" s="1"/>
  <c r="E20" i="1"/>
  <c r="E19" i="1"/>
  <c r="E18" i="1"/>
  <c r="D21" i="1"/>
  <c r="E21" i="1" s="1"/>
  <c r="C17" i="1"/>
  <c r="E16" i="1"/>
  <c r="E15" i="1"/>
  <c r="E10" i="1"/>
  <c r="E9" i="1"/>
  <c r="E8" i="1"/>
  <c r="E7" i="1"/>
  <c r="E6" i="1"/>
  <c r="E5" i="1"/>
  <c r="D12" i="1" l="1"/>
  <c r="E17" i="1"/>
  <c r="G16" i="2"/>
  <c r="H16" i="2" s="1"/>
  <c r="D44" i="1" l="1"/>
  <c r="D46" i="1" s="1"/>
  <c r="E12" i="1"/>
</calcChain>
</file>

<file path=xl/sharedStrings.xml><?xml version="1.0" encoding="utf-8"?>
<sst xmlns="http://schemas.openxmlformats.org/spreadsheetml/2006/main" count="62" uniqueCount="55">
  <si>
    <t>Cost, $</t>
  </si>
  <si>
    <t>% of Sales</t>
  </si>
  <si>
    <t>Prevention</t>
  </si>
  <si>
    <t>Lab Supplies</t>
  </si>
  <si>
    <t>Quality System Auditing</t>
  </si>
  <si>
    <t>Layered Process Auditing</t>
  </si>
  <si>
    <t>New Employee Training</t>
  </si>
  <si>
    <t>Lab Labor (50%)</t>
  </si>
  <si>
    <t>Admin &amp; Engineering (25%)</t>
  </si>
  <si>
    <t>Sub-Total</t>
  </si>
  <si>
    <t>Appraisal</t>
  </si>
  <si>
    <t>Gaging &amp; Calibration</t>
  </si>
  <si>
    <t>CMM Calibration/Repair</t>
  </si>
  <si>
    <t>Inspection =</t>
  </si>
  <si>
    <t>Internal</t>
  </si>
  <si>
    <t>Total Internal Scrap, Lost Sales</t>
  </si>
  <si>
    <t>Scrap Salvage Credit</t>
  </si>
  <si>
    <t>Outside Testing</t>
  </si>
  <si>
    <t>Outside Testing Freight</t>
  </si>
  <si>
    <t>Outside Rework/Service</t>
  </si>
  <si>
    <t>Supplier Credits</t>
  </si>
  <si>
    <t>Visual Sorting =</t>
  </si>
  <si>
    <t>External</t>
  </si>
  <si>
    <t>Returned Product or Credits</t>
  </si>
  <si>
    <t>Returned Product Freight</t>
  </si>
  <si>
    <t>Defect Investigation Trips</t>
  </si>
  <si>
    <t>Onsite Inspection</t>
  </si>
  <si>
    <t>Total</t>
  </si>
  <si>
    <t>Total Cost of Quality, $</t>
  </si>
  <si>
    <t>Total Sales, $</t>
  </si>
  <si>
    <t>COQ, % of Sales</t>
  </si>
  <si>
    <t>Month</t>
  </si>
  <si>
    <t>Sales $</t>
  </si>
  <si>
    <t>Prevention $</t>
  </si>
  <si>
    <t>Appraisal $</t>
  </si>
  <si>
    <t>Internal $</t>
  </si>
  <si>
    <t>External $</t>
  </si>
  <si>
    <t>Total $</t>
  </si>
  <si>
    <t>Total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</si>
  <si>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</si>
  <si>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</si>
  <si>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</si>
  <si>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</si>
  <si>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</si>
  <si>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</si>
  <si>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</si>
  <si>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</si>
  <si>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</si>
  <si>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</si>
  <si>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`</t>
  </si>
  <si>
    <t>November</t>
  </si>
  <si>
    <t>December</t>
  </si>
  <si>
    <t>Quality Costs Summary, July 2022</t>
  </si>
  <si>
    <t xml:space="preserve">Quality Costs, July 2022 YTD </t>
  </si>
  <si>
    <t xml:space="preserve"> 2022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</si>
</sst>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%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5" fillId="0" borderId="0" xfId="0" applyFont="1"/>
    <xf numFmtId="0" fontId="0" fillId="0" borderId="1" xfId="0" applyBorder="1"/>
    <xf numFmtId="0" fontId="0" fillId="0" borderId="2" xfId="0" applyBorder="1"/>
    <xf numFmtId="3" fontId="0" fillId="0" borderId="3" xfId="0" applyNumberForma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3" fontId="0" fillId="0" borderId="7" xfId="0" applyNumberForma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3" fontId="0" fillId="0" borderId="11" xfId="0" applyNumberFormat="1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/>
    </xf>
    <xf numFmtId="0" fontId="2" fillId="2" borderId="13" xfId="0" applyFont="1" applyFill="1" applyBorder="1"/>
    <xf numFmtId="0" fontId="2" fillId="2" borderId="14" xfId="0" applyFont="1" applyFill="1" applyBorder="1"/>
    <xf numFmtId="3" fontId="2" fillId="2" borderId="15" xfId="0" applyNumberFormat="1" applyFont="1" applyFill="1" applyBorder="1" applyAlignment="1">
      <alignment horizontal="center" vertical="center"/>
    </xf>
    <xf numFmtId="164" fontId="2" fillId="2" borderId="16" xfId="1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0" fillId="0" borderId="17" xfId="0" applyBorder="1"/>
    <xf numFmtId="0" fontId="0" fillId="0" borderId="3" xfId="0" applyBorder="1"/>
    <xf numFmtId="0" fontId="0" fillId="0" borderId="18" xfId="0" applyBorder="1"/>
    <xf numFmtId="0" fontId="0" fillId="0" borderId="19" xfId="0" applyBorder="1"/>
    <xf numFmtId="165" fontId="2" fillId="3" borderId="20" xfId="0" applyNumberFormat="1" applyFont="1" applyFill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21" xfId="0" applyBorder="1"/>
    <xf numFmtId="0" fontId="0" fillId="0" borderId="7" xfId="0" applyBorder="1"/>
    <xf numFmtId="0" fontId="0" fillId="0" borderId="22" xfId="0" applyBorder="1"/>
    <xf numFmtId="0" fontId="0" fillId="0" borderId="11" xfId="0" applyBorder="1"/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37" fontId="0" fillId="0" borderId="7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2" fillId="2" borderId="25" xfId="0" applyFont="1" applyFill="1" applyBorder="1"/>
    <xf numFmtId="0" fontId="2" fillId="2" borderId="26" xfId="0" applyFont="1" applyFill="1" applyBorder="1"/>
    <xf numFmtId="3" fontId="2" fillId="2" borderId="27" xfId="0" applyNumberFormat="1" applyFont="1" applyFill="1" applyBorder="1" applyAlignment="1">
      <alignment horizontal="center" vertical="center"/>
    </xf>
    <xf numFmtId="164" fontId="2" fillId="2" borderId="28" xfId="1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left"/>
    </xf>
    <xf numFmtId="0" fontId="0" fillId="0" borderId="3" xfId="0" applyBorder="1" applyAlignment="1">
      <alignment horizontal="left"/>
    </xf>
    <xf numFmtId="3" fontId="0" fillId="0" borderId="4" xfId="0" applyNumberFormat="1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7" xfId="0" applyBorder="1" applyAlignment="1">
      <alignment horizontal="left"/>
    </xf>
    <xf numFmtId="3" fontId="0" fillId="0" borderId="8" xfId="0" applyNumberFormat="1" applyBorder="1" applyAlignment="1">
      <alignment horizontal="center" vertical="center"/>
    </xf>
    <xf numFmtId="0" fontId="2" fillId="2" borderId="22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164" fontId="2" fillId="2" borderId="12" xfId="1" applyNumberFormat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3" fontId="0" fillId="0" borderId="11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2" borderId="32" xfId="0" applyFont="1" applyFill="1" applyBorder="1" applyAlignment="1">
      <alignment horizontal="center"/>
    </xf>
    <xf numFmtId="3" fontId="2" fillId="2" borderId="27" xfId="0" applyNumberFormat="1" applyFont="1" applyFill="1" applyBorder="1" applyAlignment="1">
      <alignment horizontal="center"/>
    </xf>
    <xf numFmtId="166" fontId="2" fillId="2" borderId="28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Quality</a:t>
            </a:r>
            <a:r>
              <a:rPr lang="en-US" baseline="0"/>
              <a:t> Costs by Category, 2022 YTD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'2022 YTD'!$C$2</c:f>
              <c:strCache>
                <c:ptCount val="1"/>
                <c:pt idx="0">
                  <c:v>Prevention $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'2022 YTD'!$A$3:$A$14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'2022 YTD'!$C$3:$C$14</c:f>
              <c:numCache>
                <c:formatCode>#,##0</c:formatCode>
                <c:ptCount val="12"/>
                <c:pt idx="0">
                  <c:v>9554</c:v>
                </c:pt>
                <c:pt idx="1">
                  <c:v>7866</c:v>
                </c:pt>
                <c:pt idx="2">
                  <c:v>10115</c:v>
                </c:pt>
                <c:pt idx="3">
                  <c:v>14785</c:v>
                </c:pt>
                <c:pt idx="4">
                  <c:v>12153</c:v>
                </c:pt>
                <c:pt idx="5">
                  <c:v>12745</c:v>
                </c:pt>
                <c:pt idx="6">
                  <c:v>10465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5-447B-A702-93C6E487F8CC}"/>
            </c:ext>
          </c:extLst>
        </c:ser>
        <c:ser>
          <c:idx val="1"/>
          <c:order val="1"/>
          <c:tx>
            <c:strRef>
              <c:f>'2022 YTD'!$D$2</c:f>
              <c:strCache>
                <c:ptCount val="1"/>
                <c:pt idx="0">
                  <c:v>Appraisal $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'2022 YTD'!$A$3:$A$14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'2022 YTD'!$D$3:$D$14</c:f>
              <c:numCache>
                <c:formatCode>#,##0</c:formatCode>
                <c:ptCount val="12"/>
                <c:pt idx="0">
                  <c:v>38965</c:v>
                </c:pt>
                <c:pt idx="1">
                  <c:v>40126</c:v>
                </c:pt>
                <c:pt idx="2">
                  <c:v>36571</c:v>
                </c:pt>
                <c:pt idx="3">
                  <c:v>37852</c:v>
                </c:pt>
                <c:pt idx="4">
                  <c:v>40255</c:v>
                </c:pt>
                <c:pt idx="5">
                  <c:v>35261</c:v>
                </c:pt>
                <c:pt idx="6">
                  <c:v>37575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15-447B-A702-93C6E487F8CC}"/>
            </c:ext>
          </c:extLst>
        </c:ser>
        <c:ser>
          <c:idx val="2"/>
          <c:order val="2"/>
          <c:tx>
            <c:strRef>
              <c:f>'2022 YTD'!$E$2</c:f>
              <c:strCache>
                <c:ptCount val="1"/>
                <c:pt idx="0">
                  <c:v>Internal $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'2022 YTD'!$A$3:$A$14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'2022 YTD'!$E$3:$E$14</c:f>
              <c:numCache>
                <c:formatCode>#,##0</c:formatCode>
                <c:ptCount val="12"/>
                <c:pt idx="0">
                  <c:v>18695</c:v>
                </c:pt>
                <c:pt idx="1">
                  <c:v>19121</c:v>
                </c:pt>
                <c:pt idx="2">
                  <c:v>19866</c:v>
                </c:pt>
                <c:pt idx="3">
                  <c:v>18311</c:v>
                </c:pt>
                <c:pt idx="4">
                  <c:v>17992</c:v>
                </c:pt>
                <c:pt idx="5">
                  <c:v>18117</c:v>
                </c:pt>
                <c:pt idx="6">
                  <c:v>17783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15-447B-A702-93C6E487F8CC}"/>
            </c:ext>
          </c:extLst>
        </c:ser>
        <c:ser>
          <c:idx val="3"/>
          <c:order val="3"/>
          <c:tx>
            <c:strRef>
              <c:f>'2022 YTD'!$F$2</c:f>
              <c:strCache>
                <c:ptCount val="1"/>
                <c:pt idx="0">
                  <c:v>External $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'2022 YTD'!$A$3:$A$14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'2022 YTD'!$F$3:$F$14</c:f>
              <c:numCache>
                <c:formatCode>#,##0</c:formatCode>
                <c:ptCount val="12"/>
                <c:pt idx="0">
                  <c:v>21655</c:v>
                </c:pt>
                <c:pt idx="1">
                  <c:v>16742</c:v>
                </c:pt>
                <c:pt idx="2">
                  <c:v>14915</c:v>
                </c:pt>
                <c:pt idx="3">
                  <c:v>15847</c:v>
                </c:pt>
                <c:pt idx="4">
                  <c:v>12983</c:v>
                </c:pt>
                <c:pt idx="5">
                  <c:v>13020</c:v>
                </c:pt>
                <c:pt idx="6">
                  <c:v>11627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15-447B-A702-93C6E487F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1699800"/>
        <c:axId val="391697832"/>
      </c:barChart>
      <c:catAx>
        <c:axId val="391699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97832"/>
        <c:crosses val="autoZero"/>
        <c:auto val="1"/>
        <c:lblAlgn val="ctr"/>
        <c:lblOffset val="100"/>
        <c:noMultiLvlLbl val="0"/>
      </c:catAx>
      <c:valAx>
        <c:axId val="391697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99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17</xdr:row>
      <xdr:rowOff>42862</xdr:rowOff>
    </xdr:from>
    <xdr:to>
      <xdr:col>7</xdr:col>
      <xdr:colOff>838199</xdr:colOff>
      <xdr:row>33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CBE935-A76C-43C5-A368-909A64C47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demy%20Courses/Cost%20of%20Quality%20Analysis%20and%20Reporting/Cost%20of%20Quality%20Report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2017 YTD"/>
      <sheetName val="2017 YTD (2)"/>
      <sheetName val="Internal Scrap"/>
      <sheetName val="External Failure Costs"/>
      <sheetName val="Salvage"/>
      <sheetName val="Training"/>
      <sheetName val="Payroll Summary"/>
      <sheetName val="Payroll Raw Data"/>
      <sheetName val="Purchases"/>
    </sheetNames>
    <sheetDataSet>
      <sheetData sheetId="0"/>
      <sheetData sheetId="1">
        <row r="2">
          <cell r="C2" t="str">
            <v>Prevention $</v>
          </cell>
          <cell r="D2" t="str">
            <v>Appraisal $</v>
          </cell>
          <cell r="E2" t="str">
            <v>Internal $</v>
          </cell>
          <cell r="F2" t="str">
            <v>External $</v>
          </cell>
        </row>
        <row r="3">
          <cell r="A3" t="str">
            <v>January</v>
          </cell>
          <cell r="C3">
            <v>9554</v>
          </cell>
          <cell r="D3">
            <v>38965</v>
          </cell>
          <cell r="E3">
            <v>18695</v>
          </cell>
          <cell r="F3">
            <v>21655</v>
          </cell>
        </row>
        <row r="4">
          <cell r="A4" t="str">
            <v>February</v>
          </cell>
          <cell r="C4">
            <v>7866</v>
          </cell>
          <cell r="D4">
            <v>40126</v>
          </cell>
          <cell r="E4">
            <v>19121</v>
          </cell>
          <cell r="F4">
            <v>16742</v>
          </cell>
        </row>
        <row r="5">
          <cell r="A5" t="str">
            <v>March</v>
          </cell>
          <cell r="C5">
            <v>10115</v>
          </cell>
          <cell r="D5">
            <v>36571</v>
          </cell>
          <cell r="E5">
            <v>19866</v>
          </cell>
          <cell r="F5">
            <v>14915</v>
          </cell>
        </row>
        <row r="6">
          <cell r="A6" t="str">
            <v>April</v>
          </cell>
          <cell r="C6">
            <v>14785</v>
          </cell>
          <cell r="D6">
            <v>37852</v>
          </cell>
          <cell r="E6">
            <v>18311</v>
          </cell>
          <cell r="F6">
            <v>15847</v>
          </cell>
        </row>
        <row r="7">
          <cell r="A7" t="str">
            <v>May</v>
          </cell>
          <cell r="C7">
            <v>12153</v>
          </cell>
          <cell r="D7">
            <v>40255</v>
          </cell>
          <cell r="E7">
            <v>17992</v>
          </cell>
          <cell r="F7">
            <v>12983</v>
          </cell>
        </row>
        <row r="8">
          <cell r="A8" t="str">
            <v>June</v>
          </cell>
          <cell r="C8">
            <v>12745</v>
          </cell>
          <cell r="D8">
            <v>35261</v>
          </cell>
          <cell r="E8">
            <v>18117</v>
          </cell>
          <cell r="F8">
            <v>13020</v>
          </cell>
        </row>
        <row r="9">
          <cell r="A9" t="str">
            <v>July</v>
          </cell>
          <cell r="C9">
            <v>10465</v>
          </cell>
          <cell r="D9">
            <v>37575</v>
          </cell>
          <cell r="E9">
            <v>17783</v>
          </cell>
          <cell r="F9">
            <v>11627</v>
          </cell>
        </row>
        <row r="10">
          <cell r="A10" t="str">
            <v>August</v>
          </cell>
        </row>
        <row r="11">
          <cell r="A11" t="str">
            <v>September</v>
          </cell>
        </row>
        <row r="12">
          <cell r="A12" t="str">
            <v>October</v>
          </cell>
        </row>
        <row r="13">
          <cell r="A13" t="str">
            <v>November</v>
          </cell>
        </row>
        <row r="14">
          <cell r="A14" t="str">
            <v>December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B276-51E0-470B-8638-A501D109F0DD}">
  <sheetPr>
    <pageSetUpPr fitToPage="1"/>
  </sheetPr>
  <dimension ref="A1:H47"/>
  <sheetViews>
    <sheetView zoomScale="120" zoomScaleNormal="120" zoomScaleSheetLayoutView="100" workbookViewId="0">
      <selection activeCell="D5" sqref="D5:D10"/>
    </sheetView>
  </sheetViews>
  <sheetFormatPr defaultRowHeight="15" x14ac:dyDescent="0.25"/>
  <cols>
    <col min="1" max="1" width="3.7109375" customWidth="1"/>
    <col min="2" max="3" width="17.5703125" customWidth="1"/>
    <col min="4" max="4" width="12.7109375" style="4" customWidth="1"/>
    <col min="5" max="5" width="10.5703125" style="4" customWidth="1"/>
    <col min="6" max="6" width="10.5703125" customWidth="1"/>
    <col min="7" max="7" width="20.42578125" customWidth="1"/>
    <col min="8" max="8" width="10.5703125" customWidth="1"/>
  </cols>
  <sheetData>
    <row r="1" spans="1:8" ht="18.75" x14ac:dyDescent="0.25">
      <c r="A1" s="1" t="s">
        <v>52</v>
      </c>
      <c r="B1" s="1"/>
      <c r="C1" s="1"/>
      <c r="D1" s="1"/>
      <c r="E1" s="1"/>
    </row>
    <row r="2" spans="1:8" ht="8.1" customHeight="1" x14ac:dyDescent="0.25">
      <c r="A2" s="2"/>
      <c r="B2" s="2"/>
      <c r="C2" s="2"/>
      <c r="D2" s="3"/>
      <c r="E2" s="3"/>
      <c r="F2" s="2"/>
      <c r="G2" s="2"/>
      <c r="H2" s="2"/>
    </row>
    <row r="3" spans="1:8" x14ac:dyDescent="0.25">
      <c r="A3" s="2"/>
      <c r="B3" s="2"/>
      <c r="C3" s="2"/>
      <c r="D3" s="4" t="s">
        <v>0</v>
      </c>
      <c r="E3" s="4" t="s">
        <v>1</v>
      </c>
      <c r="F3" s="2"/>
      <c r="G3" s="2"/>
      <c r="H3" s="2"/>
    </row>
    <row r="4" spans="1:8" ht="19.5" thickBot="1" x14ac:dyDescent="0.35">
      <c r="A4" s="5" t="s">
        <v>2</v>
      </c>
      <c r="B4" s="6"/>
      <c r="C4" s="6"/>
      <c r="D4" s="3"/>
      <c r="E4" s="3"/>
      <c r="F4" s="2"/>
      <c r="G4" s="2"/>
      <c r="H4" s="2"/>
    </row>
    <row r="5" spans="1:8" x14ac:dyDescent="0.25">
      <c r="A5" s="2"/>
      <c r="B5" s="7" t="s">
        <v>3</v>
      </c>
      <c r="C5" s="8"/>
      <c r="D5" s="9">
        <v>216.51999999999998</v>
      </c>
      <c r="E5" s="10">
        <f>D5/$D$45</f>
        <v>7.9735178452205102E-5</v>
      </c>
      <c r="F5" s="2"/>
      <c r="G5" s="2"/>
      <c r="H5" s="2"/>
    </row>
    <row r="6" spans="1:8" x14ac:dyDescent="0.25">
      <c r="A6" s="2"/>
      <c r="B6" s="11" t="s">
        <v>4</v>
      </c>
      <c r="C6" s="12"/>
      <c r="D6" s="13">
        <v>0</v>
      </c>
      <c r="E6" s="14">
        <f t="shared" ref="E6:E12" si="0">D6/$D$45</f>
        <v>0</v>
      </c>
      <c r="F6" s="2"/>
      <c r="G6" s="2"/>
      <c r="H6" s="2"/>
    </row>
    <row r="7" spans="1:8" x14ac:dyDescent="0.25">
      <c r="A7" s="2"/>
      <c r="B7" s="11" t="s">
        <v>5</v>
      </c>
      <c r="C7" s="12"/>
      <c r="D7" s="13">
        <v>350</v>
      </c>
      <c r="E7" s="14">
        <f t="shared" si="0"/>
        <v>1.288902293472741E-4</v>
      </c>
      <c r="F7" s="2"/>
      <c r="G7" s="2"/>
      <c r="H7" s="2"/>
    </row>
    <row r="8" spans="1:8" x14ac:dyDescent="0.25">
      <c r="A8" s="2"/>
      <c r="B8" s="11" t="s">
        <v>6</v>
      </c>
      <c r="C8" s="12"/>
      <c r="D8" s="13">
        <v>462</v>
      </c>
      <c r="E8" s="14">
        <f t="shared" si="0"/>
        <v>1.7013510273840182E-4</v>
      </c>
      <c r="F8" s="2"/>
      <c r="G8" s="2"/>
      <c r="H8" s="2"/>
    </row>
    <row r="9" spans="1:8" x14ac:dyDescent="0.25">
      <c r="A9" s="2"/>
      <c r="B9" s="11" t="s">
        <v>7</v>
      </c>
      <c r="C9" s="12"/>
      <c r="D9" s="13">
        <v>2784</v>
      </c>
      <c r="E9" s="14">
        <f t="shared" si="0"/>
        <v>1.0252297100080316E-3</v>
      </c>
      <c r="F9" s="2"/>
      <c r="G9" s="2"/>
      <c r="H9" s="2"/>
    </row>
    <row r="10" spans="1:8" x14ac:dyDescent="0.25">
      <c r="A10" s="2"/>
      <c r="B10" s="11" t="s">
        <v>8</v>
      </c>
      <c r="C10" s="12"/>
      <c r="D10" s="13">
        <v>6652</v>
      </c>
      <c r="E10" s="14">
        <f t="shared" si="0"/>
        <v>2.4496508731944779E-3</v>
      </c>
      <c r="F10" s="2"/>
      <c r="G10" s="2"/>
      <c r="H10" s="2"/>
    </row>
    <row r="11" spans="1:8" ht="15.75" thickBot="1" x14ac:dyDescent="0.3">
      <c r="A11" s="2"/>
      <c r="B11" s="15"/>
      <c r="C11" s="16"/>
      <c r="D11" s="17"/>
      <c r="E11" s="18"/>
      <c r="F11" s="2"/>
      <c r="G11" s="2"/>
      <c r="H11" s="2"/>
    </row>
    <row r="12" spans="1:8" ht="15.75" thickBot="1" x14ac:dyDescent="0.3">
      <c r="A12" s="2"/>
      <c r="B12" s="19" t="s">
        <v>9</v>
      </c>
      <c r="C12" s="20"/>
      <c r="D12" s="21">
        <f>SUM(D5:D11)</f>
        <v>10464.52</v>
      </c>
      <c r="E12" s="22">
        <f t="shared" si="0"/>
        <v>3.853641093740391E-3</v>
      </c>
      <c r="F12" s="2"/>
      <c r="G12" s="2"/>
      <c r="H12" s="2"/>
    </row>
    <row r="13" spans="1:8" ht="8.1" customHeight="1" x14ac:dyDescent="0.25">
      <c r="A13" s="2"/>
      <c r="B13" s="2"/>
      <c r="C13" s="2"/>
      <c r="D13" s="23"/>
      <c r="E13" s="24"/>
      <c r="F13" s="2"/>
      <c r="G13" s="2"/>
      <c r="H13" s="2"/>
    </row>
    <row r="14" spans="1:8" ht="19.5" thickBot="1" x14ac:dyDescent="0.35">
      <c r="A14" s="5" t="s">
        <v>10</v>
      </c>
      <c r="B14" s="2"/>
      <c r="C14" s="2"/>
      <c r="D14" s="23"/>
      <c r="E14" s="24"/>
      <c r="F14" s="2"/>
      <c r="G14" s="2"/>
      <c r="H14" s="2"/>
    </row>
    <row r="15" spans="1:8" ht="15" customHeight="1" x14ac:dyDescent="0.3">
      <c r="A15" s="5"/>
      <c r="B15" s="25" t="s">
        <v>11</v>
      </c>
      <c r="C15" s="26"/>
      <c r="D15" s="9">
        <v>1967.52</v>
      </c>
      <c r="E15" s="10">
        <f t="shared" ref="E15:E21" si="1">D15/$D$45</f>
        <v>7.2455458298671064E-4</v>
      </c>
      <c r="F15" s="2"/>
      <c r="G15" s="2"/>
      <c r="H15" s="2"/>
    </row>
    <row r="16" spans="1:8" ht="15" customHeight="1" thickBot="1" x14ac:dyDescent="0.35">
      <c r="A16" s="5"/>
      <c r="B16" s="27" t="s">
        <v>12</v>
      </c>
      <c r="C16" s="28"/>
      <c r="D16" s="13">
        <v>0</v>
      </c>
      <c r="E16" s="14">
        <f t="shared" si="1"/>
        <v>0</v>
      </c>
      <c r="F16" s="2"/>
      <c r="G16" s="2"/>
      <c r="H16" s="2"/>
    </row>
    <row r="17" spans="1:8" ht="15.75" thickBot="1" x14ac:dyDescent="0.3">
      <c r="A17" s="2"/>
      <c r="B17" s="11" t="s">
        <v>13</v>
      </c>
      <c r="C17" s="29">
        <f>1-C30</f>
        <v>0.92365611537741144</v>
      </c>
      <c r="D17" s="30">
        <v>28139.840498688394</v>
      </c>
      <c r="E17" s="14">
        <f t="shared" si="1"/>
        <v>1.0362715701919026E-2</v>
      </c>
      <c r="F17" s="2"/>
      <c r="G17" s="2"/>
      <c r="H17" s="2"/>
    </row>
    <row r="18" spans="1:8" x14ac:dyDescent="0.25">
      <c r="B18" s="27" t="s">
        <v>7</v>
      </c>
      <c r="C18" s="31"/>
      <c r="D18" s="13">
        <v>2783.7938050000002</v>
      </c>
      <c r="E18" s="14">
        <f t="shared" si="1"/>
        <v>1.0251537770913453E-3</v>
      </c>
    </row>
    <row r="19" spans="1:8" x14ac:dyDescent="0.25">
      <c r="B19" s="27" t="s">
        <v>8</v>
      </c>
      <c r="C19" s="32"/>
      <c r="D19" s="13">
        <v>6651.50389</v>
      </c>
      <c r="E19" s="14">
        <f t="shared" si="1"/>
        <v>2.4494681768182452E-3</v>
      </c>
    </row>
    <row r="20" spans="1:8" ht="15.75" thickBot="1" x14ac:dyDescent="0.3">
      <c r="B20" s="33"/>
      <c r="C20" s="34"/>
      <c r="D20" s="17"/>
      <c r="E20" s="18">
        <f t="shared" si="1"/>
        <v>0</v>
      </c>
    </row>
    <row r="21" spans="1:8" ht="15.75" thickBot="1" x14ac:dyDescent="0.3">
      <c r="B21" s="19" t="s">
        <v>9</v>
      </c>
      <c r="C21" s="20"/>
      <c r="D21" s="21">
        <f>SUM(D17:D20)</f>
        <v>37575.138193688399</v>
      </c>
      <c r="E21" s="22">
        <f t="shared" si="1"/>
        <v>1.3837337655828619E-2</v>
      </c>
    </row>
    <row r="22" spans="1:8" ht="8.1" customHeight="1" x14ac:dyDescent="0.25">
      <c r="D22" s="35"/>
      <c r="E22" s="36"/>
    </row>
    <row r="23" spans="1:8" ht="19.5" thickBot="1" x14ac:dyDescent="0.35">
      <c r="A23" s="5" t="s">
        <v>14</v>
      </c>
      <c r="D23" s="35"/>
      <c r="E23" s="36"/>
    </row>
    <row r="24" spans="1:8" x14ac:dyDescent="0.25">
      <c r="B24" s="7" t="s">
        <v>15</v>
      </c>
      <c r="C24" s="8"/>
      <c r="D24" s="9">
        <v>2676.9739851731038</v>
      </c>
      <c r="E24" s="10">
        <f t="shared" ref="E24:E33" si="2">D24/$D$45</f>
        <v>9.8581654544470767E-4</v>
      </c>
    </row>
    <row r="25" spans="1:8" x14ac:dyDescent="0.25">
      <c r="B25" s="11" t="s">
        <v>16</v>
      </c>
      <c r="C25" s="12"/>
      <c r="D25" s="37">
        <v>-327.36606899392484</v>
      </c>
      <c r="E25" s="14">
        <f t="shared" si="2"/>
        <v>-1.205551077518358E-4</v>
      </c>
    </row>
    <row r="26" spans="1:8" x14ac:dyDescent="0.25">
      <c r="B26" s="11" t="s">
        <v>17</v>
      </c>
      <c r="C26" s="12"/>
      <c r="D26" s="13">
        <v>6230.52</v>
      </c>
      <c r="E26" s="14">
        <f t="shared" si="2"/>
        <v>2.2944375764365095E-3</v>
      </c>
    </row>
    <row r="27" spans="1:8" x14ac:dyDescent="0.25">
      <c r="B27" s="11" t="s">
        <v>18</v>
      </c>
      <c r="C27" s="12"/>
      <c r="D27" s="13">
        <v>350</v>
      </c>
      <c r="E27" s="14">
        <f t="shared" si="2"/>
        <v>1.288902293472741E-4</v>
      </c>
    </row>
    <row r="28" spans="1:8" x14ac:dyDescent="0.25">
      <c r="B28" s="11" t="s">
        <v>19</v>
      </c>
      <c r="C28" s="12"/>
      <c r="D28" s="38">
        <v>0</v>
      </c>
      <c r="E28" s="14">
        <f t="shared" si="2"/>
        <v>0</v>
      </c>
    </row>
    <row r="29" spans="1:8" ht="15.75" thickBot="1" x14ac:dyDescent="0.3">
      <c r="B29" s="11" t="s">
        <v>20</v>
      </c>
      <c r="C29" s="39"/>
      <c r="D29" s="37">
        <v>-125</v>
      </c>
      <c r="E29" s="14">
        <f t="shared" si="2"/>
        <v>-4.6032224766883608E-5</v>
      </c>
    </row>
    <row r="30" spans="1:8" ht="15.75" thickBot="1" x14ac:dyDescent="0.3">
      <c r="B30" s="11" t="s">
        <v>21</v>
      </c>
      <c r="C30" s="29">
        <v>7.6343884622588509E-2</v>
      </c>
      <c r="D30" s="30">
        <v>2325.8707440616035</v>
      </c>
      <c r="E30" s="14">
        <f t="shared" si="2"/>
        <v>8.5652003895490044E-4</v>
      </c>
    </row>
    <row r="31" spans="1:8" x14ac:dyDescent="0.25">
      <c r="B31" s="11" t="s">
        <v>8</v>
      </c>
      <c r="C31" s="40"/>
      <c r="D31" s="13">
        <v>6651.50389</v>
      </c>
      <c r="E31" s="14">
        <f t="shared" si="2"/>
        <v>2.4494681768182452E-3</v>
      </c>
    </row>
    <row r="32" spans="1:8" ht="15.75" thickBot="1" x14ac:dyDescent="0.3">
      <c r="B32" s="15"/>
      <c r="C32" s="16"/>
      <c r="D32" s="17"/>
      <c r="E32" s="18">
        <f t="shared" si="2"/>
        <v>0</v>
      </c>
    </row>
    <row r="33" spans="1:5" ht="15.75" thickBot="1" x14ac:dyDescent="0.3">
      <c r="B33" s="41" t="s">
        <v>9</v>
      </c>
      <c r="C33" s="42"/>
      <c r="D33" s="43">
        <f>SUM(D24:D32)</f>
        <v>17782.502550240781</v>
      </c>
      <c r="E33" s="44">
        <f t="shared" si="2"/>
        <v>6.5485452344829168E-3</v>
      </c>
    </row>
    <row r="34" spans="1:5" ht="8.1" customHeight="1" x14ac:dyDescent="0.25">
      <c r="D34" s="35"/>
      <c r="E34" s="36"/>
    </row>
    <row r="35" spans="1:5" ht="19.5" thickBot="1" x14ac:dyDescent="0.35">
      <c r="A35" s="5" t="s">
        <v>22</v>
      </c>
      <c r="D35" s="35"/>
      <c r="E35" s="36"/>
    </row>
    <row r="36" spans="1:5" x14ac:dyDescent="0.25">
      <c r="B36" s="7" t="s">
        <v>23</v>
      </c>
      <c r="C36" s="8"/>
      <c r="D36" s="9">
        <v>1989</v>
      </c>
      <c r="E36" s="10">
        <f t="shared" ref="E36:E42" si="3">D36/$D$45</f>
        <v>7.3246476049065195E-4</v>
      </c>
    </row>
    <row r="37" spans="1:5" x14ac:dyDescent="0.25">
      <c r="B37" s="11" t="s">
        <v>24</v>
      </c>
      <c r="C37" s="12"/>
      <c r="D37" s="13">
        <v>627</v>
      </c>
      <c r="E37" s="14">
        <f t="shared" si="3"/>
        <v>2.3089763943068818E-4</v>
      </c>
    </row>
    <row r="38" spans="1:5" x14ac:dyDescent="0.25">
      <c r="B38" s="11" t="s">
        <v>25</v>
      </c>
      <c r="C38" s="12"/>
      <c r="D38" s="13">
        <v>500</v>
      </c>
      <c r="E38" s="14">
        <f t="shared" si="3"/>
        <v>1.8412889906753443E-4</v>
      </c>
    </row>
    <row r="39" spans="1:5" x14ac:dyDescent="0.25">
      <c r="B39" s="11" t="s">
        <v>26</v>
      </c>
      <c r="C39" s="12"/>
      <c r="D39" s="13">
        <v>1859.54</v>
      </c>
      <c r="E39" s="14">
        <f t="shared" si="3"/>
        <v>6.8479010594408598E-4</v>
      </c>
    </row>
    <row r="40" spans="1:5" x14ac:dyDescent="0.25">
      <c r="B40" s="11" t="s">
        <v>8</v>
      </c>
      <c r="C40" s="12"/>
      <c r="D40" s="13">
        <v>6651.50389</v>
      </c>
      <c r="E40" s="14">
        <f t="shared" si="3"/>
        <v>2.4494681768182452E-3</v>
      </c>
    </row>
    <row r="41" spans="1:5" ht="15.75" thickBot="1" x14ac:dyDescent="0.3">
      <c r="B41" s="15"/>
      <c r="C41" s="16"/>
      <c r="D41" s="17"/>
      <c r="E41" s="18">
        <f t="shared" si="3"/>
        <v>0</v>
      </c>
    </row>
    <row r="42" spans="1:5" ht="15.75" thickBot="1" x14ac:dyDescent="0.3">
      <c r="B42" s="41" t="s">
        <v>9</v>
      </c>
      <c r="C42" s="42"/>
      <c r="D42" s="43">
        <f>SUM(D36:D41)</f>
        <v>11627.043890000001</v>
      </c>
      <c r="E42" s="44">
        <f t="shared" si="3"/>
        <v>4.2817495817512059E-3</v>
      </c>
    </row>
    <row r="43" spans="1:5" ht="19.5" thickBot="1" x14ac:dyDescent="0.35">
      <c r="A43" s="5" t="s">
        <v>27</v>
      </c>
      <c r="D43" s="35"/>
    </row>
    <row r="44" spans="1:5" x14ac:dyDescent="0.25">
      <c r="B44" s="45" t="s">
        <v>28</v>
      </c>
      <c r="C44" s="46"/>
      <c r="D44" s="47">
        <f>SUM(D12,D21,D33,D42)</f>
        <v>77449.204633929185</v>
      </c>
    </row>
    <row r="45" spans="1:5" x14ac:dyDescent="0.25">
      <c r="B45" s="48" t="s">
        <v>29</v>
      </c>
      <c r="C45" s="49"/>
      <c r="D45" s="50">
        <v>2715489</v>
      </c>
    </row>
    <row r="46" spans="1:5" ht="15.75" thickBot="1" x14ac:dyDescent="0.3">
      <c r="B46" s="51" t="s">
        <v>30</v>
      </c>
      <c r="C46" s="52"/>
      <c r="D46" s="53">
        <f>D44/D45</f>
        <v>2.8521273565803133E-2</v>
      </c>
    </row>
    <row r="47" spans="1:5" x14ac:dyDescent="0.25">
      <c r="D47" s="54"/>
    </row>
  </sheetData>
  <mergeCells count="4">
    <mergeCell ref="A1:E1"/>
    <mergeCell ref="B44:C44"/>
    <mergeCell ref="B45:C45"/>
    <mergeCell ref="B46:C46"/>
  </mergeCells>
  <printOptions horizontalCentere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9F14-8747-4E44-B674-7F1701B41A43}">
  <sheetPr>
    <pageSetUpPr fitToPage="1"/>
  </sheetPr>
  <dimension ref="A1:J25"/>
  <sheetViews>
    <sheetView tabSelected="1" zoomScaleNormal="100" zoomScaleSheetLayoutView="100" workbookViewId="0">
      <selection activeCell="M13" sqref="M13"/>
    </sheetView>
  </sheetViews>
  <sheetFormatPr defaultColWidth="9.140625" defaultRowHeight="15" x14ac:dyDescent="0.25"/>
  <cols>
    <col min="1" max="6" width="12.7109375" style="4" customWidth="1"/>
    <col min="7" max="7" width="13" style="4" customWidth="1"/>
    <col min="8" max="8" width="12.7109375" style="4" customWidth="1"/>
    <col min="9" max="9" width="1.7109375" style="4" customWidth="1"/>
    <col min="10" max="16384" width="9.140625" style="4"/>
  </cols>
  <sheetData>
    <row r="1" spans="1:10" ht="26.25" customHeight="1" thickBot="1" x14ac:dyDescent="0.3">
      <c r="A1" s="1" t="s">
        <v>53</v>
      </c>
      <c r="B1" s="1"/>
      <c r="C1" s="1"/>
      <c r="D1" s="1"/>
      <c r="E1" s="1"/>
      <c r="F1" s="1"/>
      <c r="G1" s="1"/>
      <c r="H1" s="55"/>
    </row>
    <row r="2" spans="1:10" ht="15.75" thickBot="1" x14ac:dyDescent="0.3">
      <c r="A2" s="56" t="s">
        <v>31</v>
      </c>
      <c r="B2" s="57" t="s">
        <v>32</v>
      </c>
      <c r="C2" s="57" t="s">
        <v>33</v>
      </c>
      <c r="D2" s="57" t="s">
        <v>34</v>
      </c>
      <c r="E2" s="57" t="s">
        <v>35</v>
      </c>
      <c r="F2" s="57" t="s">
        <v>36</v>
      </c>
      <c r="G2" s="57" t="s">
        <v>37</v>
      </c>
      <c r="H2" s="58" t="s">
        <v>38</v>
      </c>
    </row>
    <row r="3" spans="1:10" x14ac:dyDescent="0.25">
      <c r="A3" s="59" t="s">
        <v>39</v>
      </c>
      <c r="B3" s="60">
        <v>2660984.8649748005</v>
      </c>
      <c r="C3" s="60">
        <v>9554</v>
      </c>
      <c r="D3" s="60">
        <v>38965</v>
      </c>
      <c r="E3" s="60">
        <v>18695</v>
      </c>
      <c r="F3" s="60">
        <v>21655</v>
      </c>
      <c r="G3" s="60">
        <f>SUM(C3:F3)</f>
        <v>88869</v>
      </c>
      <c r="H3" s="61">
        <f>IF(B3="","",((G3/B3)*100))</f>
        <v>3.3397033244998027</v>
      </c>
    </row>
    <row r="4" spans="1:10" x14ac:dyDescent="0.25">
      <c r="A4" s="62" t="s">
        <v>40</v>
      </c>
      <c r="B4" s="63">
        <v>2631312.7021170501</v>
      </c>
      <c r="C4" s="63">
        <v>7866</v>
      </c>
      <c r="D4" s="63">
        <v>40126</v>
      </c>
      <c r="E4" s="63">
        <v>19121</v>
      </c>
      <c r="F4" s="63">
        <v>16742</v>
      </c>
      <c r="G4" s="63">
        <f t="shared" ref="G4:G8" si="0">SUM(C4:F4)</f>
        <v>83855</v>
      </c>
      <c r="H4" s="64">
        <f t="shared" ref="H4:H14" si="1">IF(B4="","",((G4/B4)*100))</f>
        <v>3.1868124199960568</v>
      </c>
    </row>
    <row r="5" spans="1:10" x14ac:dyDescent="0.25">
      <c r="A5" s="62" t="s">
        <v>41</v>
      </c>
      <c r="B5" s="63">
        <v>2669622.8239498148</v>
      </c>
      <c r="C5" s="63">
        <v>10115</v>
      </c>
      <c r="D5" s="63">
        <v>36571</v>
      </c>
      <c r="E5" s="63">
        <v>19866</v>
      </c>
      <c r="F5" s="63">
        <v>14915</v>
      </c>
      <c r="G5" s="63">
        <f t="shared" si="0"/>
        <v>81467</v>
      </c>
      <c r="H5" s="64">
        <f t="shared" si="1"/>
        <v>3.0516295886123075</v>
      </c>
    </row>
    <row r="6" spans="1:10" x14ac:dyDescent="0.25">
      <c r="A6" s="62" t="s">
        <v>42</v>
      </c>
      <c r="B6" s="63">
        <v>2680650.1226707608</v>
      </c>
      <c r="C6" s="63">
        <v>14785</v>
      </c>
      <c r="D6" s="63">
        <v>37852</v>
      </c>
      <c r="E6" s="63">
        <v>18311</v>
      </c>
      <c r="F6" s="63">
        <v>15847</v>
      </c>
      <c r="G6" s="63">
        <f t="shared" si="0"/>
        <v>86795</v>
      </c>
      <c r="H6" s="64">
        <f t="shared" si="1"/>
        <v>3.2378339592309491</v>
      </c>
    </row>
    <row r="7" spans="1:10" x14ac:dyDescent="0.25">
      <c r="A7" s="62" t="s">
        <v>43</v>
      </c>
      <c r="B7" s="63">
        <v>2692621.6513888198</v>
      </c>
      <c r="C7" s="63">
        <v>12153</v>
      </c>
      <c r="D7" s="63">
        <v>40255</v>
      </c>
      <c r="E7" s="63">
        <v>17992</v>
      </c>
      <c r="F7" s="63">
        <v>12983</v>
      </c>
      <c r="G7" s="63">
        <f t="shared" si="0"/>
        <v>83383</v>
      </c>
      <c r="H7" s="64">
        <f t="shared" si="1"/>
        <v>3.0967217379757797</v>
      </c>
    </row>
    <row r="8" spans="1:10" x14ac:dyDescent="0.25">
      <c r="A8" s="62" t="s">
        <v>44</v>
      </c>
      <c r="B8" s="63">
        <v>2707177.5621789698</v>
      </c>
      <c r="C8" s="63">
        <v>12745</v>
      </c>
      <c r="D8" s="63">
        <v>35261</v>
      </c>
      <c r="E8" s="63">
        <v>18117</v>
      </c>
      <c r="F8" s="63">
        <v>13020</v>
      </c>
      <c r="G8" s="63">
        <f t="shared" si="0"/>
        <v>79143</v>
      </c>
      <c r="H8" s="64">
        <f t="shared" si="1"/>
        <v>2.9234506485898506</v>
      </c>
    </row>
    <row r="9" spans="1:10" x14ac:dyDescent="0.25">
      <c r="A9" s="62" t="s">
        <v>45</v>
      </c>
      <c r="B9" s="63">
        <v>2715489</v>
      </c>
      <c r="C9" s="63">
        <v>10465</v>
      </c>
      <c r="D9" s="63">
        <v>37575</v>
      </c>
      <c r="E9" s="63">
        <v>17783</v>
      </c>
      <c r="F9" s="63">
        <v>11627</v>
      </c>
      <c r="G9" s="63">
        <f>SUM(C9:F9)</f>
        <v>77450</v>
      </c>
      <c r="H9" s="64">
        <f t="shared" si="1"/>
        <v>2.8521566465561086</v>
      </c>
    </row>
    <row r="10" spans="1:10" x14ac:dyDescent="0.25">
      <c r="A10" s="62" t="s">
        <v>46</v>
      </c>
      <c r="B10" s="63"/>
      <c r="C10" s="63"/>
      <c r="D10" s="63"/>
      <c r="E10" s="63"/>
      <c r="F10" s="63"/>
      <c r="G10" s="63"/>
      <c r="H10" s="64" t="str">
        <f t="shared" si="1"/>
        <v/>
      </c>
    </row>
    <row r="11" spans="1:10" x14ac:dyDescent="0.25">
      <c r="A11" s="62" t="s">
        <v>47</v>
      </c>
      <c r="B11" s="63"/>
      <c r="C11" s="63"/>
      <c r="D11" s="63"/>
      <c r="E11" s="63"/>
      <c r="F11" s="63"/>
      <c r="G11" s="63"/>
      <c r="H11" s="64" t="str">
        <f t="shared" si="1"/>
        <v/>
      </c>
    </row>
    <row r="12" spans="1:10" x14ac:dyDescent="0.25">
      <c r="A12" s="62" t="s">
        <v>48</v>
      </c>
      <c r="B12" s="63"/>
      <c r="C12" s="63"/>
      <c r="D12" s="63"/>
      <c r="E12" s="63"/>
      <c r="F12" s="63"/>
      <c r="G12" s="63"/>
      <c r="H12" s="64" t="str">
        <f t="shared" si="1"/>
        <v/>
      </c>
      <c r="J12" s="4" t="s">
        <v>49</v>
      </c>
    </row>
    <row r="13" spans="1:10" x14ac:dyDescent="0.25">
      <c r="A13" s="62" t="s">
        <v>50</v>
      </c>
      <c r="B13" s="13"/>
      <c r="C13" s="63"/>
      <c r="D13" s="63"/>
      <c r="E13" s="63"/>
      <c r="F13" s="63"/>
      <c r="G13" s="63"/>
      <c r="H13" s="64" t="str">
        <f t="shared" si="1"/>
        <v/>
      </c>
    </row>
    <row r="14" spans="1:10" ht="15.75" thickBot="1" x14ac:dyDescent="0.3">
      <c r="A14" s="65" t="s">
        <v>51</v>
      </c>
      <c r="B14" s="66"/>
      <c r="C14" s="66"/>
      <c r="D14" s="66"/>
      <c r="E14" s="66"/>
      <c r="F14" s="66"/>
      <c r="G14" s="66"/>
      <c r="H14" s="67" t="str">
        <f t="shared" si="1"/>
        <v/>
      </c>
    </row>
    <row r="15" spans="1:10" ht="9" customHeight="1" thickBot="1" x14ac:dyDescent="0.3">
      <c r="B15" s="68"/>
      <c r="C15" s="68"/>
      <c r="D15" s="68"/>
      <c r="E15" s="68"/>
      <c r="F15" s="68"/>
      <c r="G15" s="68"/>
      <c r="H15" s="69"/>
    </row>
    <row r="16" spans="1:10" ht="15.75" thickBot="1" x14ac:dyDescent="0.3">
      <c r="A16" s="70" t="s">
        <v>54</v>
      </c>
      <c r="B16" s="71">
        <f t="shared" ref="B16:E16" si="2">SUM(B3:B14)</f>
        <v>18757858.727280214</v>
      </c>
      <c r="C16" s="71">
        <f t="shared" si="2"/>
        <v>77683</v>
      </c>
      <c r="D16" s="71">
        <f t="shared" si="2"/>
        <v>266605</v>
      </c>
      <c r="E16" s="71">
        <f t="shared" si="2"/>
        <v>129885</v>
      </c>
      <c r="F16" s="71">
        <f>SUM(F3:F14)</f>
        <v>106789</v>
      </c>
      <c r="G16" s="71">
        <f>SUM(G3:G14)</f>
        <v>580962</v>
      </c>
      <c r="H16" s="72">
        <f>G16/B16*100</f>
        <v>3.0971658782944478</v>
      </c>
    </row>
    <row r="25" s="4" customFormat="1" x14ac:dyDescent="0.25"/>
  </sheetData>
  <mergeCells count="1">
    <mergeCell ref="A1:H1"/>
  </mergeCells>
  <printOptions horizontalCentered="1"/>
  <pageMargins left="0.7" right="0.7" top="0.75" bottom="0.75" header="0.3" footer="0.3"/>
  <pageSetup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Page</vt:lpstr>
      <vt:lpstr>2022 YTD</vt:lpstr>
      <vt:lpstr>'Cover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rhark</dc:creator>
  <cp:lastModifiedBy>rhark</cp:lastModifiedBy>
  <cp:lastPrinted>2021-12-18T18:42:47Z</cp:lastPrinted>
  <dcterms:created xsi:type="dcterms:W3CDTF">2021-12-18T18:40:25Z</dcterms:created>
  <dcterms:modified xsi:type="dcterms:W3CDTF">2021-12-18T18:48:51Z</dcterms:modified>
</cp:coreProperties>
</file>