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rojects\Udemy Courses\Excel Templates for Manufacturing Quality Professionals\"/>
    </mc:Choice>
  </mc:AlternateContent>
  <xr:revisionPtr revIDLastSave="0" documentId="13_ncr:1_{EA8CD185-7FE7-4C51-8442-1778AEF98518}" xr6:coauthVersionLast="47" xr6:coauthVersionMax="47" xr10:uidLastSave="{00000000-0000-0000-0000-000000000000}"/>
  <bookViews>
    <workbookView xWindow="-120" yWindow="-120" windowWidth="38640" windowHeight="21120" xr2:uid="{A5F390B7-FA8D-48F5-BFAE-11CC8C961C48}"/>
  </bookViews>
  <sheets>
    <sheet name="OEE Worksheet" sheetId="1" r:id="rId1"/>
    <sheet name="OEE Exampl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4" l="1"/>
  <c r="B9" i="4"/>
  <c r="B10" i="4" s="1"/>
  <c r="B5" i="4"/>
  <c r="B15" i="4" s="1"/>
  <c r="B13" i="1"/>
  <c r="B9" i="1"/>
  <c r="B10" i="1" s="1"/>
  <c r="B5" i="1"/>
  <c r="B15" i="1" s="1"/>
</calcChain>
</file>

<file path=xl/sharedStrings.xml><?xml version="1.0" encoding="utf-8"?>
<sst xmlns="http://schemas.openxmlformats.org/spreadsheetml/2006/main" count="48" uniqueCount="17">
  <si>
    <t>Actual Run Time =</t>
  </si>
  <si>
    <t>Planned Production Time =</t>
  </si>
  <si>
    <t>Availability =</t>
  </si>
  <si>
    <t>Ideal Cycle Time =</t>
  </si>
  <si>
    <t>Efficiency =</t>
  </si>
  <si>
    <t>Quality =</t>
  </si>
  <si>
    <t>OEE Worksheet</t>
  </si>
  <si>
    <t xml:space="preserve">Overall Equipment Effectivensss = </t>
  </si>
  <si>
    <t>Category</t>
  </si>
  <si>
    <t>Value</t>
  </si>
  <si>
    <t>Unit</t>
  </si>
  <si>
    <t>hours</t>
  </si>
  <si>
    <t>%</t>
  </si>
  <si>
    <t>pcs</t>
  </si>
  <si>
    <t>Actual Output</t>
  </si>
  <si>
    <t>Ideal Output =</t>
  </si>
  <si>
    <t>Rejects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</si>
</sst>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7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1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7A03-1152-47D9-AB5A-977C45220992}">
  <dimension ref="A1:C15"/>
  <sheetViews>
    <sheetView tabSelected="1" zoomScale="290" zoomScaleNormal="290" workbookViewId="0">
      <pane ySplit="1" topLeftCell="A2" activePane="bottomLeft" state="frozen"/>
      <selection pane="bottomLeft" activeCell="E12" sqref="E12"/>
    </sheetView>
  </sheetViews>
  <sheetFormatPr defaultColWidth="8.7109375" defaultRowHeight="15" x14ac:dyDescent="0.25"/>
  <cols>
    <col min="1" max="1" width="30.85546875" style="1" customWidth="1"/>
    <col min="2" max="2" width="8.7109375" style="1" customWidth="1"/>
    <col min="3" max="16384" width="8.7109375" style="1"/>
  </cols>
  <sheetData>
    <row r="1" spans="1:3" ht="16.5" thickBot="1" x14ac:dyDescent="0.3">
      <c r="A1" s="3" t="s">
        <v>6</v>
      </c>
      <c r="B1" s="4"/>
      <c r="C1" s="5"/>
    </row>
    <row r="2" spans="1:3" x14ac:dyDescent="0.25">
      <c r="A2" s="6" t="s">
        <v>8</v>
      </c>
      <c r="B2" s="7" t="s">
        <v>9</v>
      </c>
      <c r="C2" s="8" t="s">
        <v>10</v>
      </c>
    </row>
    <row r="3" spans="1:3" x14ac:dyDescent="0.25">
      <c r="A3" s="9" t="s">
        <v>0</v>
      </c>
      <c r="B3" s="17"/>
      <c r="C3" s="10" t="s">
        <v>11</v>
      </c>
    </row>
    <row r="4" spans="1:3" x14ac:dyDescent="0.25">
      <c r="A4" s="9" t="s">
        <v>1</v>
      </c>
      <c r="B4" s="17"/>
      <c r="C4" s="10" t="s">
        <v>11</v>
      </c>
    </row>
    <row r="5" spans="1:3" ht="15.75" thickBot="1" x14ac:dyDescent="0.3">
      <c r="A5" s="11" t="s">
        <v>2</v>
      </c>
      <c r="B5" s="12" t="str">
        <f>IF(B4="","",B3/B4)</f>
        <v/>
      </c>
      <c r="C5" s="13" t="s">
        <v>12</v>
      </c>
    </row>
    <row r="6" spans="1:3" ht="15.75" thickBot="1" x14ac:dyDescent="0.3"/>
    <row r="7" spans="1:3" x14ac:dyDescent="0.25">
      <c r="A7" s="6" t="s">
        <v>14</v>
      </c>
      <c r="B7" s="18"/>
      <c r="C7" s="8" t="s">
        <v>13</v>
      </c>
    </row>
    <row r="8" spans="1:3" x14ac:dyDescent="0.25">
      <c r="A8" s="9" t="s">
        <v>3</v>
      </c>
      <c r="B8" s="19"/>
      <c r="C8" s="10" t="s">
        <v>11</v>
      </c>
    </row>
    <row r="9" spans="1:3" x14ac:dyDescent="0.25">
      <c r="A9" s="9" t="s">
        <v>15</v>
      </c>
      <c r="B9" s="2" t="str">
        <f>IF(B8="","",B3/B8)</f>
        <v/>
      </c>
      <c r="C9" s="10" t="s">
        <v>13</v>
      </c>
    </row>
    <row r="10" spans="1:3" ht="15.75" thickBot="1" x14ac:dyDescent="0.3">
      <c r="A10" s="11" t="s">
        <v>4</v>
      </c>
      <c r="B10" s="12" t="str">
        <f>IF(B9="","",B7/B9)</f>
        <v/>
      </c>
      <c r="C10" s="13" t="s">
        <v>12</v>
      </c>
    </row>
    <row r="11" spans="1:3" ht="15.75" thickBot="1" x14ac:dyDescent="0.3"/>
    <row r="12" spans="1:3" x14ac:dyDescent="0.25">
      <c r="A12" s="6" t="s">
        <v>16</v>
      </c>
      <c r="B12" s="20"/>
      <c r="C12" s="8" t="s">
        <v>13</v>
      </c>
    </row>
    <row r="13" spans="1:3" ht="15.75" thickBot="1" x14ac:dyDescent="0.3">
      <c r="A13" s="11" t="s">
        <v>5</v>
      </c>
      <c r="B13" s="12" t="str">
        <f>IF(B12="","",(B7-B12)/B7)</f>
        <v/>
      </c>
      <c r="C13" s="13" t="s">
        <v>12</v>
      </c>
    </row>
    <row r="14" spans="1:3" ht="15.75" thickBot="1" x14ac:dyDescent="0.3"/>
    <row r="15" spans="1:3" ht="15.75" thickBot="1" x14ac:dyDescent="0.3">
      <c r="A15" s="14" t="s">
        <v>7</v>
      </c>
      <c r="B15" s="15" t="str">
        <f>IF(B5="","",B5*B10*B13)</f>
        <v/>
      </c>
      <c r="C15" s="16" t="s">
        <v>12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7753-9F5C-421E-B4E9-E2A8B45586EA}">
  <dimension ref="A1:C15"/>
  <sheetViews>
    <sheetView zoomScale="290" zoomScaleNormal="290" workbookViewId="0">
      <pane ySplit="1" topLeftCell="A2" activePane="bottomLeft" state="frozen"/>
      <selection pane="bottomLeft" activeCell="D11" sqref="D11"/>
    </sheetView>
  </sheetViews>
  <sheetFormatPr defaultColWidth="8.7109375" defaultRowHeight="15" x14ac:dyDescent="0.25"/>
  <cols>
    <col min="1" max="1" width="30.85546875" style="1" customWidth="1"/>
    <col min="2" max="2" width="8.7109375" style="1" customWidth="1"/>
    <col min="3" max="16384" width="8.7109375" style="1"/>
  </cols>
  <sheetData>
    <row r="1" spans="1:3" ht="16.5" thickBot="1" x14ac:dyDescent="0.3">
      <c r="A1" s="3" t="s">
        <v>6</v>
      </c>
      <c r="B1" s="4"/>
      <c r="C1" s="5"/>
    </row>
    <row r="2" spans="1:3" x14ac:dyDescent="0.25">
      <c r="A2" s="6" t="s">
        <v>8</v>
      </c>
      <c r="B2" s="7" t="s">
        <v>9</v>
      </c>
      <c r="C2" s="8" t="s">
        <v>10</v>
      </c>
    </row>
    <row r="3" spans="1:3" x14ac:dyDescent="0.25">
      <c r="A3" s="9" t="s">
        <v>0</v>
      </c>
      <c r="B3" s="17">
        <v>22.7</v>
      </c>
      <c r="C3" s="10" t="s">
        <v>11</v>
      </c>
    </row>
    <row r="4" spans="1:3" x14ac:dyDescent="0.25">
      <c r="A4" s="9" t="s">
        <v>1</v>
      </c>
      <c r="B4" s="17">
        <v>24</v>
      </c>
      <c r="C4" s="10" t="s">
        <v>11</v>
      </c>
    </row>
    <row r="5" spans="1:3" ht="15.75" thickBot="1" x14ac:dyDescent="0.3">
      <c r="A5" s="11" t="s">
        <v>2</v>
      </c>
      <c r="B5" s="12">
        <f>IF(B4="","",B3/B4)</f>
        <v>0.9458333333333333</v>
      </c>
      <c r="C5" s="13" t="s">
        <v>12</v>
      </c>
    </row>
    <row r="6" spans="1:3" ht="15.75" thickBot="1" x14ac:dyDescent="0.3"/>
    <row r="7" spans="1:3" x14ac:dyDescent="0.25">
      <c r="A7" s="6" t="s">
        <v>14</v>
      </c>
      <c r="B7" s="18">
        <v>3120</v>
      </c>
      <c r="C7" s="8" t="s">
        <v>13</v>
      </c>
    </row>
    <row r="8" spans="1:3" x14ac:dyDescent="0.25">
      <c r="A8" s="9" t="s">
        <v>3</v>
      </c>
      <c r="B8" s="19">
        <v>6.6666666666666671E-3</v>
      </c>
      <c r="C8" s="10" t="s">
        <v>11</v>
      </c>
    </row>
    <row r="9" spans="1:3" x14ac:dyDescent="0.25">
      <c r="A9" s="9" t="s">
        <v>15</v>
      </c>
      <c r="B9" s="2">
        <f>IF(B8="","",B3/B8)</f>
        <v>3404.9999999999995</v>
      </c>
      <c r="C9" s="10" t="s">
        <v>13</v>
      </c>
    </row>
    <row r="10" spans="1:3" ht="15.75" thickBot="1" x14ac:dyDescent="0.3">
      <c r="A10" s="11" t="s">
        <v>4</v>
      </c>
      <c r="B10" s="12">
        <f>IF(B9="","",B7/B9)</f>
        <v>0.91629955947136577</v>
      </c>
      <c r="C10" s="13" t="s">
        <v>12</v>
      </c>
    </row>
    <row r="11" spans="1:3" ht="15.75" thickBot="1" x14ac:dyDescent="0.3"/>
    <row r="12" spans="1:3" x14ac:dyDescent="0.25">
      <c r="A12" s="6" t="s">
        <v>16</v>
      </c>
      <c r="B12" s="20">
        <v>7</v>
      </c>
      <c r="C12" s="8" t="s">
        <v>13</v>
      </c>
    </row>
    <row r="13" spans="1:3" ht="15.75" thickBot="1" x14ac:dyDescent="0.3">
      <c r="A13" s="11" t="s">
        <v>5</v>
      </c>
      <c r="B13" s="12">
        <f>IF(B12="","",(B7-B12)/B7)</f>
        <v>0.99775641025641026</v>
      </c>
      <c r="C13" s="13" t="s">
        <v>12</v>
      </c>
    </row>
    <row r="14" spans="1:3" ht="15.75" thickBot="1" x14ac:dyDescent="0.3"/>
    <row r="15" spans="1:3" ht="15.75" thickBot="1" x14ac:dyDescent="0.3">
      <c r="A15" s="14" t="s">
        <v>7</v>
      </c>
      <c r="B15" s="15">
        <f>IF(B5="","",B5*B10*B13)</f>
        <v>0.86472222222222239</v>
      </c>
      <c r="C15" s="16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OEE Worksheet</vt:lpstr>
      <vt:lpstr>OEE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Ray Harkins</cp:lastModifiedBy>
  <dcterms:created xsi:type="dcterms:W3CDTF">2025-07-28T20:02:09Z</dcterms:created>
  <dcterms:modified xsi:type="dcterms:W3CDTF">2025-07-28T23:14:40Z</dcterms:modified>
</cp:coreProperties>
</file>