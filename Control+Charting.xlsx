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Courses\Certified Lean Six Green Belt\"/>
    </mc:Choice>
  </mc:AlternateContent>
  <xr:revisionPtr revIDLastSave="0" documentId="13_ncr:1_{082FA3BE-18ED-469F-A175-07295D8C842D}" xr6:coauthVersionLast="47" xr6:coauthVersionMax="47" xr10:uidLastSave="{00000000-0000-0000-0000-000000000000}"/>
  <bookViews>
    <workbookView xWindow="-120" yWindow="-120" windowWidth="29040" windowHeight="15840" xr2:uid="{74301DED-075D-4E8D-9BCE-C0B2E0BD662B}"/>
  </bookViews>
  <sheets>
    <sheet name="Xbar&amp;R BEFOR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3" l="1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R17" i="3" l="1"/>
  <c r="R16" i="3"/>
  <c r="D14" i="3" s="1"/>
  <c r="P14" i="3"/>
  <c r="L13" i="3"/>
  <c r="H14" i="3"/>
  <c r="L14" i="3"/>
  <c r="I13" i="3"/>
  <c r="C13" i="3"/>
  <c r="E14" i="3" l="1"/>
  <c r="B14" i="3"/>
  <c r="J13" i="3"/>
  <c r="I14" i="3"/>
  <c r="P13" i="3"/>
  <c r="O14" i="3"/>
  <c r="E13" i="3"/>
  <c r="D13" i="3"/>
  <c r="K13" i="3"/>
  <c r="C14" i="3"/>
  <c r="J14" i="3"/>
  <c r="K14" i="3"/>
  <c r="B13" i="3"/>
  <c r="O13" i="3"/>
  <c r="G14" i="3"/>
  <c r="N14" i="3"/>
  <c r="G13" i="3"/>
  <c r="H13" i="3"/>
  <c r="F14" i="3"/>
  <c r="M14" i="3"/>
  <c r="F13" i="3"/>
  <c r="M13" i="3"/>
  <c r="N13" i="3"/>
</calcChain>
</file>

<file path=xl/sharedStrings.xml><?xml version="1.0" encoding="utf-8"?>
<sst xmlns="http://schemas.openxmlformats.org/spreadsheetml/2006/main" count="13" uniqueCount="13">
  <si>
    <t>Time</t>
  </si>
  <si>
    <t>Readings</t>
  </si>
  <si>
    <t>X-bar</t>
  </si>
  <si>
    <t>Range</t>
  </si>
  <si>
    <t>USL</t>
  </si>
  <si>
    <t>LSL</t>
  </si>
  <si>
    <t>X, UCL</t>
  </si>
  <si>
    <t>X2bar + A2*Rbar</t>
  </si>
  <si>
    <t>X, LCL</t>
  </si>
  <si>
    <t>X2bar - A2*Rbar</t>
  </si>
  <si>
    <t>X2-bar</t>
  </si>
  <si>
    <t>R-bar</t>
  </si>
  <si>
    <r>
      <t>A</t>
    </r>
    <r>
      <rPr>
        <b/>
        <vertAlign val="subscript"/>
        <sz val="10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</si>
</sst>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16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</a:t>
            </a:r>
            <a:r>
              <a:rPr lang="en-US" baseline="0"/>
              <a:t> Control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'Xbar&amp;R BEFORE'!$A$9</c:f>
              <c:strCache>
                <c:ptCount val="1"/>
                <c:pt idx="0">
                  <c:v>X-bar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'Xbar&amp;R BEFORE'!$B$9:$P$9</c:f>
              <c:numCache>
                <c:formatCode>0.00</c:formatCode>
                <c:ptCount val="15"/>
                <c:pt idx="0">
                  <c:v>12.49102375906863</c:v>
                </c:pt>
                <c:pt idx="1">
                  <c:v>12.488515991137538</c:v>
                </c:pt>
                <c:pt idx="2">
                  <c:v>12.600857690742705</c:v>
                </c:pt>
                <c:pt idx="3">
                  <c:v>12.753747397184489</c:v>
                </c:pt>
                <c:pt idx="4">
                  <c:v>12.329760275790468</c:v>
                </c:pt>
                <c:pt idx="5">
                  <c:v>12.32107355546963</c:v>
                </c:pt>
                <c:pt idx="6">
                  <c:v>12.587510380783206</c:v>
                </c:pt>
                <c:pt idx="7">
                  <c:v>12.657736191087897</c:v>
                </c:pt>
                <c:pt idx="8">
                  <c:v>12.46034210991842</c:v>
                </c:pt>
                <c:pt idx="9">
                  <c:v>12.656277106927737</c:v>
                </c:pt>
                <c:pt idx="10">
                  <c:v>12.331191995528789</c:v>
                </c:pt>
                <c:pt idx="11">
                  <c:v>12.490028946942621</c:v>
                </c:pt>
                <c:pt idx="12">
                  <c:v>12.456414359278133</c:v>
                </c:pt>
                <c:pt idx="13">
                  <c:v>12.560625133048452</c:v>
                </c:pt>
                <c:pt idx="14">
                  <c:v>12.279814996802306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3-47A4-A21B-58BF684817AD}"/>
            </c:ext>
          </c:extLst>
        </c:ser>
        <c:ser>
          <c:idx val="1"/>
          <c:order val="1"/>
          <c:tx>
            <c:strRef>
              <c:f>'Xbar&amp;R BEFORE'!$A$11</c:f>
              <c:strCache>
                <c:ptCount val="1"/>
                <c:pt idx="0">
                  <c:v>USL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'Xbar&amp;R BEFORE'!$B$11:$P$11</c:f>
              <c:numCache>
                <c:formatCode>0.00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3-47A4-A21B-58BF684817AD}"/>
            </c:ext>
          </c:extLst>
        </c:ser>
        <c:ser>
          <c:idx val="2"/>
          <c:order val="2"/>
          <c:tx>
            <c:strRef>
              <c:f>'Xbar&amp;R BEFORE'!$A$12</c:f>
              <c:strCache>
                <c:ptCount val="1"/>
                <c:pt idx="0">
                  <c:v>LSL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'Xbar&amp;R BEFORE'!$B$12:$P$12</c:f>
              <c:numCache>
                <c:formatCode>0.00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3-47A4-A21B-58BF684817AD}"/>
            </c:ext>
          </c:extLst>
        </c:ser>
        <c:ser>
          <c:idx val="3"/>
          <c:order val="3"/>
          <c:tx>
            <c:strRef>
              <c:f>'Xbar&amp;R BEFORE'!$A$13</c:f>
              <c:strCache>
                <c:ptCount val="1"/>
                <c:pt idx="0">
                  <c:v>X, 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'Xbar&amp;R BEFORE'!$B$13:$P$13</c:f>
              <c:numCache>
                <c:formatCode>0.00</c:formatCode>
                <c:ptCount val="15"/>
                <c:pt idx="0">
                  <c:v>12.859839640945127</c:v>
                </c:pt>
                <c:pt idx="1">
                  <c:v>12.859839640945127</c:v>
                </c:pt>
                <c:pt idx="2">
                  <c:v>12.859839640945127</c:v>
                </c:pt>
                <c:pt idx="3">
                  <c:v>12.859839640945127</c:v>
                </c:pt>
                <c:pt idx="4">
                  <c:v>12.859839640945127</c:v>
                </c:pt>
                <c:pt idx="5">
                  <c:v>12.859839640945127</c:v>
                </c:pt>
                <c:pt idx="6">
                  <c:v>12.859839640945127</c:v>
                </c:pt>
                <c:pt idx="7">
                  <c:v>12.859839640945127</c:v>
                </c:pt>
                <c:pt idx="8">
                  <c:v>12.859839640945127</c:v>
                </c:pt>
                <c:pt idx="9">
                  <c:v>12.859839640945127</c:v>
                </c:pt>
                <c:pt idx="10">
                  <c:v>12.859839640945127</c:v>
                </c:pt>
                <c:pt idx="11">
                  <c:v>12.859839640945127</c:v>
                </c:pt>
                <c:pt idx="12">
                  <c:v>12.859839640945127</c:v>
                </c:pt>
                <c:pt idx="13">
                  <c:v>12.859839640945127</c:v>
                </c:pt>
                <c:pt idx="14">
                  <c:v>12.859839640945127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3-47A4-A21B-58BF684817AD}"/>
            </c:ext>
          </c:extLst>
        </c:ser>
        <c:ser>
          <c:idx val="4"/>
          <c:order val="4"/>
          <c:tx>
            <c:strRef>
              <c:f>'Xbar&amp;R BEFORE'!$A$14</c:f>
              <c:strCache>
                <c:ptCount val="1"/>
                <c:pt idx="0">
                  <c:v>X, LCL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'Xbar&amp;R BEFORE'!$B$14:$P$14</c:f>
              <c:numCache>
                <c:formatCode>0.00</c:formatCode>
                <c:ptCount val="15"/>
                <c:pt idx="0">
                  <c:v>12.135483011016346</c:v>
                </c:pt>
                <c:pt idx="1">
                  <c:v>12.135483011016346</c:v>
                </c:pt>
                <c:pt idx="2">
                  <c:v>12.135483011016346</c:v>
                </c:pt>
                <c:pt idx="3">
                  <c:v>12.135483011016346</c:v>
                </c:pt>
                <c:pt idx="4">
                  <c:v>12.135483011016346</c:v>
                </c:pt>
                <c:pt idx="5">
                  <c:v>12.135483011016346</c:v>
                </c:pt>
                <c:pt idx="6">
                  <c:v>12.135483011016346</c:v>
                </c:pt>
                <c:pt idx="7">
                  <c:v>12.135483011016346</c:v>
                </c:pt>
                <c:pt idx="8">
                  <c:v>12.135483011016346</c:v>
                </c:pt>
                <c:pt idx="9">
                  <c:v>12.135483011016346</c:v>
                </c:pt>
                <c:pt idx="10">
                  <c:v>12.135483011016346</c:v>
                </c:pt>
                <c:pt idx="11">
                  <c:v>12.135483011016346</c:v>
                </c:pt>
                <c:pt idx="12">
                  <c:v>12.135483011016346</c:v>
                </c:pt>
                <c:pt idx="13">
                  <c:v>12.135483011016346</c:v>
                </c:pt>
                <c:pt idx="14">
                  <c:v>12.135483011016346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93-47A4-A21B-58BF6848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150271"/>
        <c:axId val="1650461343"/>
      </c:lineChart>
      <c:catAx>
        <c:axId val="136215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61343"/>
        <c:crosses val="autoZero"/>
        <c:auto val="1"/>
        <c:lblAlgn val="ctr"/>
        <c:lblOffset val="100"/>
        <c:noMultiLvlLbl val="0"/>
      </c:catAx>
      <c:valAx>
        <c:axId val="16504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20409</xdr:colOff>
      <xdr:row>14</xdr:row>
      <xdr:rowOff>46944</xdr:rowOff>
    </xdr:from>
    <xdr:to>
      <xdr:col>15</xdr:col>
      <xdr:colOff>353785</xdr:colOff>
      <xdr:row>28</xdr:row>
      <xdr:rowOff>123144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5B61C-2ACA-435E-82C4-1B21AA5A8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84DE-9FE7-4699-B9C4-AD62728F6593}">
  <sheetPr>
    <pageSetUpPr fitToPage="1"/>
  </sheetPr>
  <dimension ref="A2:U25"/>
  <sheetViews>
    <sheetView tabSelected="1" zoomScale="145" zoomScaleNormal="145" workbookViewId="0">
      <selection activeCell="B4" sqref="B4:P9"/>
    </sheetView>
  </sheetViews>
  <sheetFormatPr defaultRowHeight="15" x14ac:dyDescent="0.25"/>
  <cols>
    <col min="2" max="16" width="5.7109375" customWidth="1"/>
    <col min="17" max="17" width="6.5703125" customWidth="1"/>
    <col min="18" max="18" width="15.28515625" style="3" customWidth="1"/>
    <col min="19" max="21" width="5.7109375" customWidth="1"/>
  </cols>
  <sheetData>
    <row r="2" spans="1:21" x14ac:dyDescent="0.25">
      <c r="A2" s="1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</row>
    <row r="3" spans="1:21" ht="4.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1" x14ac:dyDescent="0.25">
      <c r="A4" s="17" t="s">
        <v>1</v>
      </c>
      <c r="B4" s="4">
        <v>12.43594636518741</v>
      </c>
      <c r="C4" s="4">
        <v>12.599034692741261</v>
      </c>
      <c r="D4" s="4">
        <v>12.108731180817122</v>
      </c>
      <c r="E4" s="4">
        <v>13.178939871906769</v>
      </c>
      <c r="F4" s="4">
        <v>12.398443260210334</v>
      </c>
      <c r="G4" s="4">
        <v>12.127217661074829</v>
      </c>
      <c r="H4" s="4">
        <v>12.440972517126502</v>
      </c>
      <c r="I4" s="5">
        <v>12.864527280655457</v>
      </c>
      <c r="J4" s="5">
        <v>12.601228132482211</v>
      </c>
      <c r="K4" s="5">
        <v>12.901156042900984</v>
      </c>
      <c r="L4" s="5">
        <v>12.155240147805889</v>
      </c>
      <c r="M4" s="5">
        <v>12.303391127645446</v>
      </c>
      <c r="N4" s="5">
        <v>12.657023529229482</v>
      </c>
      <c r="O4" s="5">
        <v>13.033878104508622</v>
      </c>
      <c r="P4" s="5">
        <v>12.22200208387425</v>
      </c>
      <c r="R4" s="6"/>
    </row>
    <row r="5" spans="1:21" x14ac:dyDescent="0.25">
      <c r="A5" s="17"/>
      <c r="B5" s="4">
        <v>12.596633547147794</v>
      </c>
      <c r="C5" s="4">
        <v>12.512195183646545</v>
      </c>
      <c r="D5" s="4">
        <v>12.795739717987308</v>
      </c>
      <c r="E5" s="4">
        <v>12.891333204536059</v>
      </c>
      <c r="F5" s="4">
        <v>12.20734464452311</v>
      </c>
      <c r="G5" s="4">
        <v>11.666498386077583</v>
      </c>
      <c r="H5" s="4">
        <v>12.544550150707655</v>
      </c>
      <c r="I5" s="5">
        <v>12.575027193108545</v>
      </c>
      <c r="J5" s="5">
        <v>12.630937981996103</v>
      </c>
      <c r="K5" s="5">
        <v>13.219362727724947</v>
      </c>
      <c r="L5" s="5">
        <v>12.646115345362196</v>
      </c>
      <c r="M5" s="5">
        <v>12.550024683534721</v>
      </c>
      <c r="N5" s="5">
        <v>12.636128650158062</v>
      </c>
      <c r="O5" s="5">
        <v>12.354603807964159</v>
      </c>
      <c r="P5" s="5">
        <v>12.487770623849647</v>
      </c>
      <c r="R5" s="6"/>
    </row>
    <row r="6" spans="1:21" x14ac:dyDescent="0.25">
      <c r="A6" s="17"/>
      <c r="B6" s="4">
        <v>12.470340476213314</v>
      </c>
      <c r="C6" s="4">
        <v>12.473830264227436</v>
      </c>
      <c r="D6" s="4">
        <v>12.747562510341814</v>
      </c>
      <c r="E6" s="4">
        <v>12.750837009591342</v>
      </c>
      <c r="F6" s="4">
        <v>12.140514791937894</v>
      </c>
      <c r="G6" s="4">
        <v>12.736589377184137</v>
      </c>
      <c r="H6" s="4">
        <v>13.042893197891535</v>
      </c>
      <c r="I6" s="5">
        <v>12.345732130527031</v>
      </c>
      <c r="J6" s="5">
        <v>12.574355610852072</v>
      </c>
      <c r="K6" s="5">
        <v>12.625594007133477</v>
      </c>
      <c r="L6" s="5">
        <v>12.282026437717141</v>
      </c>
      <c r="M6" s="5">
        <v>12.660940597854497</v>
      </c>
      <c r="N6" s="5">
        <v>12.018121315961471</v>
      </c>
      <c r="O6" s="5">
        <v>12.448831710955565</v>
      </c>
      <c r="P6" s="5">
        <v>12.42208743944706</v>
      </c>
    </row>
    <row r="7" spans="1:21" x14ac:dyDescent="0.25">
      <c r="A7" s="17"/>
      <c r="B7" s="4">
        <v>12.691879538508365</v>
      </c>
      <c r="C7" s="4">
        <v>12.499019379376696</v>
      </c>
      <c r="D7" s="4">
        <v>12.689118699129031</v>
      </c>
      <c r="E7" s="4">
        <v>12.291414742250927</v>
      </c>
      <c r="F7" s="4">
        <v>12.409847630280856</v>
      </c>
      <c r="G7" s="4">
        <v>12.698490519071347</v>
      </c>
      <c r="H7" s="4">
        <v>12.643812447933888</v>
      </c>
      <c r="I7" s="5">
        <v>12.729809924096335</v>
      </c>
      <c r="J7" s="5">
        <v>12.030834232902853</v>
      </c>
      <c r="K7" s="5">
        <v>12.375325269133318</v>
      </c>
      <c r="L7" s="5">
        <v>12.613727409118146</v>
      </c>
      <c r="M7" s="5">
        <v>12.441894665173313</v>
      </c>
      <c r="N7" s="5">
        <v>12.551929972616781</v>
      </c>
      <c r="O7" s="5">
        <v>12.384907762154617</v>
      </c>
      <c r="P7" s="5">
        <v>12.060120098724147</v>
      </c>
    </row>
    <row r="8" spans="1:21" x14ac:dyDescent="0.25">
      <c r="A8" s="17"/>
      <c r="B8" s="4">
        <v>12.260318868286268</v>
      </c>
      <c r="C8" s="4">
        <v>12.358500435695751</v>
      </c>
      <c r="D8" s="4">
        <v>12.663136345438252</v>
      </c>
      <c r="E8" s="4">
        <v>12.656212157637347</v>
      </c>
      <c r="F8" s="4">
        <v>12.492651052000147</v>
      </c>
      <c r="G8" s="4">
        <v>12.376571833940252</v>
      </c>
      <c r="H8" s="4">
        <v>12.265323590256449</v>
      </c>
      <c r="I8" s="5">
        <v>12.773584427052119</v>
      </c>
      <c r="J8" s="5">
        <v>12.464354591358861</v>
      </c>
      <c r="K8" s="5">
        <v>12.159947487745958</v>
      </c>
      <c r="L8" s="5">
        <v>11.958850637640571</v>
      </c>
      <c r="M8" s="5">
        <v>12.493893660505128</v>
      </c>
      <c r="N8" s="5">
        <v>12.418868328424869</v>
      </c>
      <c r="O8" s="5">
        <v>12.580904279659299</v>
      </c>
      <c r="P8" s="5">
        <v>12.20709473811643</v>
      </c>
    </row>
    <row r="9" spans="1:21" x14ac:dyDescent="0.25">
      <c r="A9" s="1" t="s">
        <v>2</v>
      </c>
      <c r="B9" s="4">
        <f>AVERAGE(B4:B8)</f>
        <v>12.49102375906863</v>
      </c>
      <c r="C9" s="4">
        <f t="shared" ref="C9:P9" si="0">AVERAGE(C4:C8)</f>
        <v>12.488515991137538</v>
      </c>
      <c r="D9" s="4">
        <f t="shared" si="0"/>
        <v>12.600857690742705</v>
      </c>
      <c r="E9" s="4">
        <f t="shared" si="0"/>
        <v>12.753747397184489</v>
      </c>
      <c r="F9" s="4">
        <f t="shared" si="0"/>
        <v>12.329760275790468</v>
      </c>
      <c r="G9" s="4">
        <f t="shared" si="0"/>
        <v>12.32107355546963</v>
      </c>
      <c r="H9" s="4">
        <f t="shared" si="0"/>
        <v>12.587510380783206</v>
      </c>
      <c r="I9" s="4">
        <f t="shared" si="0"/>
        <v>12.657736191087897</v>
      </c>
      <c r="J9" s="4">
        <f t="shared" si="0"/>
        <v>12.46034210991842</v>
      </c>
      <c r="K9" s="4">
        <f t="shared" si="0"/>
        <v>12.656277106927737</v>
      </c>
      <c r="L9" s="4">
        <f t="shared" si="0"/>
        <v>12.331191995528789</v>
      </c>
      <c r="M9" s="4">
        <f t="shared" si="0"/>
        <v>12.490028946942621</v>
      </c>
      <c r="N9" s="4">
        <f t="shared" si="0"/>
        <v>12.456414359278133</v>
      </c>
      <c r="O9" s="4">
        <f t="shared" si="0"/>
        <v>12.560625133048452</v>
      </c>
      <c r="P9" s="4">
        <f t="shared" si="0"/>
        <v>12.279814996802306</v>
      </c>
      <c r="R9" s="7"/>
      <c r="S9" s="8"/>
      <c r="T9" s="8"/>
      <c r="U9" s="8"/>
    </row>
    <row r="10" spans="1:21" x14ac:dyDescent="0.25">
      <c r="A10" s="1" t="s">
        <v>3</v>
      </c>
      <c r="B10" s="4">
        <f>MAX(B4:B8)-MIN(B4:B8)</f>
        <v>0.43156067022209754</v>
      </c>
      <c r="C10" s="4">
        <f t="shared" ref="C10:P10" si="1">MAX(C4:C8)-MIN(C4:C8)</f>
        <v>0.24053425704551046</v>
      </c>
      <c r="D10" s="4">
        <f t="shared" si="1"/>
        <v>0.68700853717018617</v>
      </c>
      <c r="E10" s="4">
        <f t="shared" si="1"/>
        <v>0.88752512965584174</v>
      </c>
      <c r="F10" s="4">
        <f t="shared" si="1"/>
        <v>0.3521362600622524</v>
      </c>
      <c r="G10" s="4">
        <f t="shared" si="1"/>
        <v>1.0700909911065537</v>
      </c>
      <c r="H10" s="4">
        <f t="shared" si="1"/>
        <v>0.77756960763508687</v>
      </c>
      <c r="I10" s="4">
        <f t="shared" si="1"/>
        <v>0.51879515012842603</v>
      </c>
      <c r="J10" s="4">
        <f t="shared" si="1"/>
        <v>0.60010374909325037</v>
      </c>
      <c r="K10" s="4">
        <f t="shared" si="1"/>
        <v>1.0594152399789891</v>
      </c>
      <c r="L10" s="4">
        <f t="shared" si="1"/>
        <v>0.68726470772162429</v>
      </c>
      <c r="M10" s="4">
        <f t="shared" si="1"/>
        <v>0.35754947020905092</v>
      </c>
      <c r="N10" s="4">
        <f t="shared" si="1"/>
        <v>0.63890221326801111</v>
      </c>
      <c r="O10" s="4">
        <f t="shared" si="1"/>
        <v>0.67927429654446314</v>
      </c>
      <c r="P10" s="4">
        <f t="shared" si="1"/>
        <v>0.42765052512550028</v>
      </c>
      <c r="R10" s="7"/>
      <c r="S10" s="8"/>
      <c r="T10" s="8"/>
      <c r="U10" s="8"/>
    </row>
    <row r="11" spans="1:21" x14ac:dyDescent="0.25">
      <c r="A11" s="1" t="s">
        <v>4</v>
      </c>
      <c r="B11" s="4">
        <v>13</v>
      </c>
      <c r="C11" s="4">
        <v>13</v>
      </c>
      <c r="D11" s="4">
        <v>13</v>
      </c>
      <c r="E11" s="4">
        <v>13</v>
      </c>
      <c r="F11" s="4">
        <v>13</v>
      </c>
      <c r="G11" s="4">
        <v>13</v>
      </c>
      <c r="H11" s="4">
        <v>13</v>
      </c>
      <c r="I11" s="4">
        <v>13</v>
      </c>
      <c r="J11" s="4">
        <v>13</v>
      </c>
      <c r="K11" s="4">
        <v>13</v>
      </c>
      <c r="L11" s="4">
        <v>13</v>
      </c>
      <c r="M11" s="4">
        <v>13</v>
      </c>
      <c r="N11" s="4">
        <v>13</v>
      </c>
      <c r="O11" s="4">
        <v>13</v>
      </c>
      <c r="P11" s="4">
        <v>13</v>
      </c>
      <c r="Q11" s="8"/>
      <c r="S11" s="8"/>
      <c r="T11" s="8"/>
      <c r="U11" s="8"/>
    </row>
    <row r="12" spans="1:21" x14ac:dyDescent="0.25">
      <c r="A12" s="1" t="s">
        <v>5</v>
      </c>
      <c r="B12" s="4">
        <v>12</v>
      </c>
      <c r="C12" s="4">
        <v>12</v>
      </c>
      <c r="D12" s="4">
        <v>12</v>
      </c>
      <c r="E12" s="4">
        <v>12</v>
      </c>
      <c r="F12" s="4">
        <v>12</v>
      </c>
      <c r="G12" s="4">
        <v>12</v>
      </c>
      <c r="H12" s="4">
        <v>12</v>
      </c>
      <c r="I12" s="4">
        <v>12</v>
      </c>
      <c r="J12" s="4">
        <v>12</v>
      </c>
      <c r="K12" s="4">
        <v>12</v>
      </c>
      <c r="L12" s="4">
        <v>12</v>
      </c>
      <c r="M12" s="4">
        <v>12</v>
      </c>
      <c r="N12" s="4">
        <v>12</v>
      </c>
      <c r="O12" s="4">
        <v>12</v>
      </c>
      <c r="P12" s="4">
        <v>12</v>
      </c>
      <c r="Q12" s="8"/>
      <c r="S12" s="8"/>
      <c r="T12" s="8"/>
      <c r="U12" s="8"/>
    </row>
    <row r="13" spans="1:21" x14ac:dyDescent="0.25">
      <c r="A13" s="9" t="s">
        <v>6</v>
      </c>
      <c r="B13" s="10">
        <f>$R$16+($R$18*$R$17)</f>
        <v>12.859839640945127</v>
      </c>
      <c r="C13" s="10">
        <f>$R$16+($R$18*$R$17)</f>
        <v>12.859839640945127</v>
      </c>
      <c r="D13" s="10">
        <f>$R$16+($R$18*$R$17)</f>
        <v>12.859839640945127</v>
      </c>
      <c r="E13" s="10">
        <f>$R$16+($R$18*$R$17)</f>
        <v>12.859839640945127</v>
      </c>
      <c r="F13" s="10">
        <f>$R$16+($R$18*$R$17)</f>
        <v>12.859839640945127</v>
      </c>
      <c r="G13" s="10">
        <f>$R$16+($R$18*$R$17)</f>
        <v>12.859839640945127</v>
      </c>
      <c r="H13" s="10">
        <f>$R$16+($R$18*$R$17)</f>
        <v>12.859839640945127</v>
      </c>
      <c r="I13" s="10">
        <f>$R$16+($R$18*$R$17)</f>
        <v>12.859839640945127</v>
      </c>
      <c r="J13" s="10">
        <f>$R$16+($R$18*$R$17)</f>
        <v>12.859839640945127</v>
      </c>
      <c r="K13" s="10">
        <f>$R$16+($R$18*$R$17)</f>
        <v>12.859839640945127</v>
      </c>
      <c r="L13" s="10">
        <f>$R$16+($R$18*$R$17)</f>
        <v>12.859839640945127</v>
      </c>
      <c r="M13" s="10">
        <f>$R$16+($R$18*$R$17)</f>
        <v>12.859839640945127</v>
      </c>
      <c r="N13" s="10">
        <f>$R$16+($R$18*$R$17)</f>
        <v>12.859839640945127</v>
      </c>
      <c r="O13" s="10">
        <f>$R$16+($R$18*$R$17)</f>
        <v>12.859839640945127</v>
      </c>
      <c r="P13" s="10">
        <f>$R$16+($R$18*$R$17)</f>
        <v>12.859839640945127</v>
      </c>
      <c r="Q13" s="11" t="s">
        <v>7</v>
      </c>
      <c r="R13" s="12"/>
      <c r="S13" s="8"/>
      <c r="T13" s="8"/>
      <c r="U13" s="8"/>
    </row>
    <row r="14" spans="1:21" x14ac:dyDescent="0.25">
      <c r="A14" s="9" t="s">
        <v>8</v>
      </c>
      <c r="B14" s="10">
        <f>$R$16-($R$18*$R$17)</f>
        <v>12.135483011016346</v>
      </c>
      <c r="C14" s="10">
        <f>$R$16-($R$18*$R$17)</f>
        <v>12.135483011016346</v>
      </c>
      <c r="D14" s="10">
        <f>$R$16-($R$18*$R$17)</f>
        <v>12.135483011016346</v>
      </c>
      <c r="E14" s="10">
        <f>$R$16-($R$18*$R$17)</f>
        <v>12.135483011016346</v>
      </c>
      <c r="F14" s="10">
        <f>$R$16-($R$18*$R$17)</f>
        <v>12.135483011016346</v>
      </c>
      <c r="G14" s="10">
        <f>$R$16-($R$18*$R$17)</f>
        <v>12.135483011016346</v>
      </c>
      <c r="H14" s="10">
        <f>$R$16-($R$18*$R$17)</f>
        <v>12.135483011016346</v>
      </c>
      <c r="I14" s="10">
        <f>$R$16-($R$18*$R$17)</f>
        <v>12.135483011016346</v>
      </c>
      <c r="J14" s="10">
        <f>$R$16-($R$18*$R$17)</f>
        <v>12.135483011016346</v>
      </c>
      <c r="K14" s="10">
        <f>$R$16-($R$18*$R$17)</f>
        <v>12.135483011016346</v>
      </c>
      <c r="L14" s="10">
        <f>$R$16-($R$18*$R$17)</f>
        <v>12.135483011016346</v>
      </c>
      <c r="M14" s="10">
        <f>$R$16-($R$18*$R$17)</f>
        <v>12.135483011016346</v>
      </c>
      <c r="N14" s="10">
        <f>$R$16-($R$18*$R$17)</f>
        <v>12.135483011016346</v>
      </c>
      <c r="O14" s="10">
        <f>$R$16-($R$18*$R$17)</f>
        <v>12.135483011016346</v>
      </c>
      <c r="P14" s="10">
        <f>$R$16-($R$18*$R$17)</f>
        <v>12.135483011016346</v>
      </c>
      <c r="Q14" s="11" t="s">
        <v>9</v>
      </c>
      <c r="R14" s="12"/>
      <c r="S14" s="8"/>
      <c r="T14" s="8"/>
      <c r="U14" s="8"/>
    </row>
    <row r="15" spans="1:21" x14ac:dyDescent="0.25">
      <c r="D15" s="8"/>
      <c r="E15" s="8"/>
      <c r="K15" s="8"/>
      <c r="L15" s="8"/>
      <c r="M15" s="8"/>
      <c r="N15" s="8"/>
      <c r="O15" s="8"/>
      <c r="P15" s="8"/>
    </row>
    <row r="16" spans="1:21" x14ac:dyDescent="0.25">
      <c r="D16" s="8"/>
      <c r="E16" s="8"/>
      <c r="H16" s="8"/>
      <c r="K16" s="8"/>
      <c r="L16" s="8"/>
      <c r="M16" s="8"/>
      <c r="N16" s="8"/>
      <c r="O16" s="8"/>
      <c r="P16" s="8"/>
      <c r="Q16" s="13" t="s">
        <v>10</v>
      </c>
      <c r="R16" s="14">
        <f>AVERAGE(B9:P9)</f>
        <v>12.497661325980737</v>
      </c>
    </row>
    <row r="17" spans="2:21" x14ac:dyDescent="0.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3" t="s">
        <v>11</v>
      </c>
      <c r="R17" s="14">
        <f>AVERAGE(B10:P10)</f>
        <v>0.62769205366445624</v>
      </c>
    </row>
    <row r="18" spans="2:21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6" t="s">
        <v>12</v>
      </c>
      <c r="R18" s="18">
        <v>0.57699999999999996</v>
      </c>
    </row>
    <row r="19" spans="2:21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8"/>
      <c r="R19" s="8"/>
      <c r="S19" s="8"/>
    </row>
    <row r="20" spans="2:21" x14ac:dyDescent="0.2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8"/>
      <c r="R20" s="8"/>
      <c r="S20" s="8"/>
    </row>
    <row r="21" spans="2:21" x14ac:dyDescent="0.2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8"/>
      <c r="S21" s="8"/>
      <c r="T21" s="8"/>
      <c r="U21" s="8"/>
    </row>
    <row r="22" spans="2:21" x14ac:dyDescent="0.25">
      <c r="D22" s="8"/>
      <c r="E22" s="8"/>
      <c r="G22" s="8"/>
      <c r="H22" s="8"/>
      <c r="K22" s="8"/>
      <c r="L22" s="8"/>
      <c r="M22" s="8"/>
      <c r="N22" s="8"/>
      <c r="O22" s="8"/>
      <c r="P22" s="8"/>
      <c r="Q22" s="8"/>
      <c r="S22" s="8"/>
      <c r="T22" s="8"/>
      <c r="U22" s="8"/>
    </row>
    <row r="23" spans="2:21" x14ac:dyDescent="0.25">
      <c r="D23" s="8"/>
      <c r="E23" s="8"/>
      <c r="G23" s="8"/>
      <c r="H23" s="8"/>
      <c r="K23" s="8"/>
      <c r="L23" s="8"/>
      <c r="M23" s="8"/>
      <c r="N23" s="8"/>
      <c r="O23" s="8"/>
      <c r="P23" s="8"/>
      <c r="Q23" s="8"/>
      <c r="S23" s="8"/>
      <c r="T23" s="8"/>
      <c r="U23" s="8"/>
    </row>
    <row r="24" spans="2:21" x14ac:dyDescent="0.25">
      <c r="Q24" s="8"/>
    </row>
    <row r="25" spans="2:21" x14ac:dyDescent="0.25">
      <c r="Q25" s="8"/>
    </row>
  </sheetData>
  <mergeCells count="1">
    <mergeCell ref="A4:A8"/>
  </mergeCells>
  <printOptions horizontalCentered="1"/>
  <pageMargins left="0.25" right="0.25" top="0.75" bottom="0.75" header="0.3" footer="0.3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Xbar&amp;R 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rhark</dc:creator>
  <cp:lastModifiedBy>rhark</cp:lastModifiedBy>
  <dcterms:created xsi:type="dcterms:W3CDTF">2021-12-04T16:58:56Z</dcterms:created>
  <dcterms:modified xsi:type="dcterms:W3CDTF">2021-12-23T01:46:07Z</dcterms:modified>
</cp:coreProperties>
</file>