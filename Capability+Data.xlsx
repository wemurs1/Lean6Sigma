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13_ncr:1_{014C7DBB-F720-43E9-9082-9421BDB8051A}" xr6:coauthVersionLast="47" xr6:coauthVersionMax="47" xr10:uidLastSave="{00000000-0000-0000-0000-000000000000}"/>
  <bookViews>
    <workbookView xWindow="-120" yWindow="-120" windowWidth="29040" windowHeight="15840" xr2:uid="{B1028827-DD81-4173-A32B-BF214AD958F1}"/>
  </bookViews>
  <sheets>
    <sheet name="Pp and Pp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9" i="2"/>
  <c r="F8" i="2"/>
  <c r="F7" i="2"/>
  <c r="F5" i="2"/>
  <c r="F4" i="2"/>
  <c r="F3" i="2"/>
  <c r="F2" i="2"/>
</calcChain>
</file>

<file path=xl/sharedStrings.xml><?xml version="1.0" encoding="utf-8"?>
<sst xmlns="http://schemas.openxmlformats.org/spreadsheetml/2006/main" count="10" uniqueCount="10">
  <si>
    <t>No.</t>
  </si>
  <si>
    <t>Value</t>
  </si>
  <si>
    <t>Upper Spec Limit</t>
  </si>
  <si>
    <t>Sample Mean</t>
  </si>
  <si>
    <t>Sample Standard Deviation</t>
  </si>
  <si>
    <t>Lower Spec Limit</t>
  </si>
  <si>
    <t>Pp</t>
  </si>
  <si>
    <t>Ppu</t>
  </si>
  <si>
    <t>Ppl</t>
  </si>
  <si>
    <t>Ppk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</si>
</sst>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122959</xdr:colOff>
      <xdr:row>1</xdr:row>
      <xdr:rowOff>80529</xdr:rowOff>
    </xdr:from>
    <xdr:to>
      <xdr:col>15</xdr:col>
      <xdr:colOff>370609</xdr:colOff>
      <xdr:row>4</xdr:row>
      <xdr:rowOff>179725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1">
              <a:extLst>
                <a:ext uri="{FF2B5EF4-FFF2-40B4-BE49-F238E27FC236}">
                  <a16:creationId xmlns:a16="http://schemas.microsoft.com/office/drawing/2014/main" id="{A2F613BF-E2DC-4399-9077-5275068C567B}"/>
                </a:ext>
              </a:extLst>
            </xdr:cNvPr>
            <xdr:cNvSpPr txBox="1"/>
          </xdr:nvSpPr>
          <xdr:spPr>
            <a:xfrm>
              <a:off x="7240732" y="279688"/>
              <a:ext cx="3278332" cy="67069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𝑃𝑝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𝑈𝑆𝐿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𝐿𝑆𝐿</m:t>
                        </m:r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6</m:t>
                        </m:r>
                        <m:r>
                          <m:rPr>
                            <m:sty m:val="p"/>
                          </m:rPr>
                          <a:rPr lang="el-GR" sz="2000" b="0" i="1">
                            <a:latin typeface="Cambria Math" panose="02040503050406030204" pitchFamily="18" charset="0"/>
                          </a:rPr>
                          <m:t>σ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>
        <xdr:sp macro="" textlink="">
          <xdr:nvSpPr>
            <xdr:cNvPr id="3" name="TextBox 21">
              <a:extLst>
                <a:ext uri="{FF2B5EF4-FFF2-40B4-BE49-F238E27FC236}">
                  <a16:creationId xmlns:a16="http://schemas.microsoft.com/office/drawing/2014/main" id="{A2F613BF-E2DC-4399-9077-5275068C567B}"/>
                </a:ext>
              </a:extLst>
            </xdr:cNvPr>
            <xdr:cNvSpPr txBox="1"/>
          </xdr:nvSpPr>
          <xdr:spPr>
            <a:xfrm>
              <a:off x="7240732" y="279688"/>
              <a:ext cx="3278332" cy="67069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000" b="0" i="0">
                  <a:latin typeface="Cambria Math" panose="02040503050406030204" pitchFamily="18" charset="0"/>
                </a:rPr>
                <a:t>𝑃𝑝=(𝑈𝑆𝐿 −𝐿𝑆𝐿)/6</a:t>
              </a:r>
              <a:r>
                <a:rPr lang="el-GR" sz="2000" b="0" i="0">
                  <a:latin typeface="Cambria Math" panose="02040503050406030204" pitchFamily="18" charset="0"/>
                </a:rPr>
                <a:t>σ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10</xdr:col>
      <xdr:colOff>255444</xdr:colOff>
      <xdr:row>6</xdr:row>
      <xdr:rowOff>168852</xdr:rowOff>
    </xdr:from>
    <xdr:to>
      <xdr:col>18</xdr:col>
      <xdr:colOff>509155</xdr:colOff>
      <xdr:row>10</xdr:row>
      <xdr:rowOff>26189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8B5B7972-F590-4711-BE87-3BCD8F2FFFF5}"/>
                </a:ext>
              </a:extLst>
            </xdr:cNvPr>
            <xdr:cNvSpPr txBox="1"/>
          </xdr:nvSpPr>
          <xdr:spPr>
            <a:xfrm>
              <a:off x="7373217" y="1320511"/>
              <a:ext cx="5102802" cy="61933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US" sz="2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𝑃𝑝𝑘</m:t>
                  </m:r>
                  <m:r>
                    <a:rPr lang="en-US" sz="2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r>
                    <m:rPr>
                      <m:sty m:val="p"/>
                    </m:rPr>
                    <a:rPr lang="en-US" sz="24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min</m:t>
                  </m:r>
                  <m:r>
                    <a:rPr lang="en-US" sz="2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⁡[</m:t>
                  </m:r>
                  <m:f>
                    <m:fPr>
                      <m:ctrlP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𝑈𝑆𝐿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−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𝑀𝑒𝑎𝑛</m:t>
                      </m:r>
                    </m:num>
                    <m:den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3 ∗ 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𝑆𝑆𝐷</m:t>
                      </m:r>
                    </m:den>
                  </m:f>
                </m:oMath>
              </a14:m>
              <a:r>
                <a:rPr lang="en-US" sz="2400">
                  <a:latin typeface="Cambria Math" panose="02040503050406030204" pitchFamily="18" charset="0"/>
                  <a:ea typeface="Cambria Math" panose="02040503050406030204" pitchFamily="18" charset="0"/>
                </a:rPr>
                <a:t>, </a:t>
              </a:r>
              <a14:m>
                <m:oMath xmlns:m="http://schemas.openxmlformats.org/officeDocument/2006/math">
                  <m:f>
                    <m:fPr>
                      <m:ctrlPr>
                        <a:rPr lang="en-US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𝑀𝑒𝑎𝑛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−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𝐿𝑆𝐿</m:t>
                      </m:r>
                    </m:num>
                    <m:den>
                      <m:r>
                        <a:rPr lang="en-US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3 ∗ </m:t>
                      </m:r>
                      <m:r>
                        <a:rPr lang="en-US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𝑆𝑆𝐷</m:t>
                      </m:r>
                    </m:den>
                  </m:f>
                  <m:r>
                    <a:rPr lang="en-US" sz="2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]</m:t>
                  </m:r>
                </m:oMath>
              </a14:m>
              <a:endParaRPr lang="en-US" sz="24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8B5B7972-F590-4711-BE87-3BCD8F2FFFF5}"/>
                </a:ext>
              </a:extLst>
            </xdr:cNvPr>
            <xdr:cNvSpPr txBox="1"/>
          </xdr:nvSpPr>
          <xdr:spPr>
            <a:xfrm>
              <a:off x="7373217" y="1320511"/>
              <a:ext cx="5102802" cy="61933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𝑃𝑝𝑘=min⁡[(𝑈𝑆𝐿 −𝑀𝑒𝑎𝑛)/(3 ∗ 𝑆𝑆𝐷)</a:t>
              </a:r>
              <a:r>
                <a:rPr lang="en-US" sz="2400">
                  <a:latin typeface="Cambria Math" panose="02040503050406030204" pitchFamily="18" charset="0"/>
                  <a:ea typeface="Cambria Math" panose="02040503050406030204" pitchFamily="18" charset="0"/>
                </a:rPr>
                <a:t>, </a:t>
              </a:r>
              <a:r>
                <a:rPr lang="en-US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(𝑀𝑒𝑎𝑛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−𝐿𝑆𝐿)/(</a:t>
              </a:r>
              <a:r>
                <a:rPr lang="en-US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3 ∗ 𝑆𝑆𝐷)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n-US" sz="24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 editAs="oneCell">
    <xdr:from>
      <xdr:col>6</xdr:col>
      <xdr:colOff>394855</xdr:colOff>
      <xdr:row>0</xdr:row>
      <xdr:rowOff>142875</xdr:rowOff>
    </xdr:from>
    <xdr:to>
      <xdr:col>10</xdr:col>
      <xdr:colOff>46665</xdr:colOff>
      <xdr:row>15</xdr:row>
      <xdr:rowOff>21315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64A652-5616-45AA-845C-8978F205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8082" y="142875"/>
          <a:ext cx="2076356" cy="2744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87EF-E533-4A18-94BF-87154DD1211B}">
  <dimension ref="B1:F31"/>
  <sheetViews>
    <sheetView showGridLines="0" tabSelected="1" zoomScale="110" zoomScaleNormal="110" workbookViewId="0">
      <selection activeCell="F24" sqref="F24"/>
    </sheetView>
  </sheetViews>
  <sheetFormatPr defaultRowHeight="15" x14ac:dyDescent="0.25"/>
  <cols>
    <col min="1" max="1" width="9.140625" style="1"/>
    <col min="2" max="2" width="3.7109375" style="1" customWidth="1"/>
    <col min="3" max="3" width="12.7109375" style="1" customWidth="1"/>
    <col min="4" max="4" width="3.7109375" style="1" customWidth="1"/>
    <col min="5" max="5" width="27" style="1" customWidth="1"/>
    <col min="6" max="6" width="14" style="1" customWidth="1"/>
    <col min="7" max="16384" width="9.140625" style="1"/>
  </cols>
  <sheetData>
    <row r="1" spans="2:6" ht="15.75" thickBot="1" x14ac:dyDescent="0.3">
      <c r="B1" s="9" t="s">
        <v>0</v>
      </c>
      <c r="C1" s="10" t="s">
        <v>1</v>
      </c>
    </row>
    <row r="2" spans="2:6" x14ac:dyDescent="0.25">
      <c r="B2" s="3">
        <v>1</v>
      </c>
      <c r="C2" s="4">
        <v>37.01032</v>
      </c>
      <c r="D2" s="2"/>
      <c r="E2" s="11" t="s">
        <v>2</v>
      </c>
      <c r="F2" s="11">
        <f>37+0.018</f>
        <v>37.018000000000001</v>
      </c>
    </row>
    <row r="3" spans="2:6" x14ac:dyDescent="0.25">
      <c r="B3" s="5">
        <v>2</v>
      </c>
      <c r="C3" s="6">
        <v>37.010570000000001</v>
      </c>
      <c r="D3" s="2"/>
      <c r="E3" s="12" t="s">
        <v>5</v>
      </c>
      <c r="F3" s="11">
        <f>37+0.002</f>
        <v>37.002000000000002</v>
      </c>
    </row>
    <row r="4" spans="2:6" x14ac:dyDescent="0.25">
      <c r="B4" s="5">
        <v>3</v>
      </c>
      <c r="C4" s="6">
        <v>37.010509999999996</v>
      </c>
      <c r="D4" s="2"/>
      <c r="E4" s="11" t="s">
        <v>3</v>
      </c>
      <c r="F4" s="12">
        <f>AVERAGE(C2:C31)</f>
        <v>37.010022333333339</v>
      </c>
    </row>
    <row r="5" spans="2:6" x14ac:dyDescent="0.25">
      <c r="B5" s="5">
        <v>4</v>
      </c>
      <c r="C5" s="6">
        <v>37.009590000000003</v>
      </c>
      <c r="D5" s="2"/>
      <c r="E5" s="11" t="s">
        <v>4</v>
      </c>
      <c r="F5" s="13">
        <f>_xlfn.STDEV.S(C2:C31)</f>
        <v>5.77203026095065E-4</v>
      </c>
    </row>
    <row r="6" spans="2:6" x14ac:dyDescent="0.25">
      <c r="B6" s="5">
        <v>5</v>
      </c>
      <c r="C6" s="6">
        <v>37.009810000000002</v>
      </c>
      <c r="D6" s="2"/>
    </row>
    <row r="7" spans="2:6" x14ac:dyDescent="0.25">
      <c r="B7" s="5">
        <v>6</v>
      </c>
      <c r="C7" s="6">
        <v>37.009549999999997</v>
      </c>
      <c r="D7" s="2"/>
      <c r="E7" s="11" t="s">
        <v>6</v>
      </c>
      <c r="F7" s="14">
        <f>(F2-F3)/(6*F5)</f>
        <v>4.6199803987638388</v>
      </c>
    </row>
    <row r="8" spans="2:6" x14ac:dyDescent="0.25">
      <c r="B8" s="5">
        <v>7</v>
      </c>
      <c r="C8" s="6">
        <v>37.010779999999997</v>
      </c>
      <c r="D8" s="2"/>
      <c r="E8" s="11" t="s">
        <v>7</v>
      </c>
      <c r="F8" s="14">
        <f>(F2-F4)/(3*F5)</f>
        <v>4.6070829534816395</v>
      </c>
    </row>
    <row r="9" spans="2:6" x14ac:dyDescent="0.25">
      <c r="B9" s="5">
        <v>8</v>
      </c>
      <c r="C9" s="6">
        <v>37.01088</v>
      </c>
      <c r="D9" s="2"/>
      <c r="E9" s="11" t="s">
        <v>8</v>
      </c>
      <c r="F9" s="14">
        <f>(F4-F3)/(3*F5)</f>
        <v>4.6328778440460381</v>
      </c>
    </row>
    <row r="10" spans="2:6" x14ac:dyDescent="0.25">
      <c r="B10" s="5">
        <v>9</v>
      </c>
      <c r="C10" s="6">
        <v>37.010120000000001</v>
      </c>
      <c r="D10" s="2"/>
      <c r="E10" s="11" t="s">
        <v>9</v>
      </c>
      <c r="F10" s="14">
        <f>MIN(F8:F9)</f>
        <v>4.6070829534816395</v>
      </c>
    </row>
    <row r="11" spans="2:6" x14ac:dyDescent="0.25">
      <c r="B11" s="5">
        <v>10</v>
      </c>
      <c r="C11" s="6">
        <v>37.009419999999999</v>
      </c>
      <c r="D11" s="2"/>
    </row>
    <row r="12" spans="2:6" x14ac:dyDescent="0.25">
      <c r="B12" s="5">
        <v>11</v>
      </c>
      <c r="C12" s="6">
        <v>37.010509999999996</v>
      </c>
      <c r="D12" s="2"/>
    </row>
    <row r="13" spans="2:6" x14ac:dyDescent="0.25">
      <c r="B13" s="5">
        <v>12</v>
      </c>
      <c r="C13" s="6">
        <v>37.009520000000002</v>
      </c>
      <c r="D13" s="2"/>
    </row>
    <row r="14" spans="2:6" x14ac:dyDescent="0.25">
      <c r="B14" s="5">
        <v>13</v>
      </c>
      <c r="C14" s="6">
        <v>37.011040000000001</v>
      </c>
      <c r="D14" s="2"/>
    </row>
    <row r="15" spans="2:6" x14ac:dyDescent="0.25">
      <c r="B15" s="5">
        <v>14</v>
      </c>
      <c r="C15" s="6">
        <v>37.010280000000002</v>
      </c>
      <c r="D15" s="2"/>
    </row>
    <row r="16" spans="2:6" x14ac:dyDescent="0.25">
      <c r="B16" s="5">
        <v>15</v>
      </c>
      <c r="C16" s="6">
        <v>37.009050000000002</v>
      </c>
      <c r="D16" s="2"/>
    </row>
    <row r="17" spans="2:3" x14ac:dyDescent="0.25">
      <c r="B17" s="5">
        <v>16</v>
      </c>
      <c r="C17" s="6">
        <v>37.009</v>
      </c>
    </row>
    <row r="18" spans="2:3" x14ac:dyDescent="0.25">
      <c r="B18" s="5">
        <v>17</v>
      </c>
      <c r="C18" s="6">
        <v>37.01061</v>
      </c>
    </row>
    <row r="19" spans="2:3" x14ac:dyDescent="0.25">
      <c r="B19" s="5">
        <v>18</v>
      </c>
      <c r="C19" s="6">
        <v>37.010109999999997</v>
      </c>
    </row>
    <row r="20" spans="2:3" x14ac:dyDescent="0.25">
      <c r="B20" s="5">
        <v>19</v>
      </c>
      <c r="C20" s="6">
        <v>37.00967</v>
      </c>
    </row>
    <row r="21" spans="2:3" x14ac:dyDescent="0.25">
      <c r="B21" s="5">
        <v>20</v>
      </c>
      <c r="C21" s="6">
        <v>37.010260000000002</v>
      </c>
    </row>
    <row r="22" spans="2:3" x14ac:dyDescent="0.25">
      <c r="B22" s="5">
        <v>21</v>
      </c>
      <c r="C22" s="6">
        <v>37.009709999999998</v>
      </c>
    </row>
    <row r="23" spans="2:3" x14ac:dyDescent="0.25">
      <c r="B23" s="5">
        <v>22</v>
      </c>
      <c r="C23" s="6">
        <v>37.009599999999999</v>
      </c>
    </row>
    <row r="24" spans="2:3" x14ac:dyDescent="0.25">
      <c r="B24" s="5">
        <v>23</v>
      </c>
      <c r="C24" s="6">
        <v>37.010640000000002</v>
      </c>
    </row>
    <row r="25" spans="2:3" x14ac:dyDescent="0.25">
      <c r="B25" s="5">
        <v>24</v>
      </c>
      <c r="C25" s="6">
        <v>37.010100000000001</v>
      </c>
    </row>
    <row r="26" spans="2:3" x14ac:dyDescent="0.25">
      <c r="B26" s="5">
        <v>25</v>
      </c>
      <c r="C26" s="6">
        <v>37.010289999999998</v>
      </c>
    </row>
    <row r="27" spans="2:3" x14ac:dyDescent="0.25">
      <c r="B27" s="5">
        <v>26</v>
      </c>
      <c r="C27" s="6">
        <v>37.010170000000002</v>
      </c>
    </row>
    <row r="28" spans="2:3" x14ac:dyDescent="0.25">
      <c r="B28" s="5">
        <v>27</v>
      </c>
      <c r="C28" s="6">
        <v>37.008989999999997</v>
      </c>
    </row>
    <row r="29" spans="2:3" x14ac:dyDescent="0.25">
      <c r="B29" s="5">
        <v>28</v>
      </c>
      <c r="C29" s="6">
        <v>37.009639999999997</v>
      </c>
    </row>
    <row r="30" spans="2:3" x14ac:dyDescent="0.25">
      <c r="B30" s="5">
        <v>29</v>
      </c>
      <c r="C30" s="6">
        <v>37.009329999999999</v>
      </c>
    </row>
    <row r="31" spans="2:3" ht="15.75" thickBot="1" x14ac:dyDescent="0.3">
      <c r="B31" s="7">
        <v>30</v>
      </c>
      <c r="C31" s="8">
        <v>37.010599999999997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 and Ppk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rhark</dc:creator>
  <cp:lastModifiedBy>rhark</cp:lastModifiedBy>
  <dcterms:created xsi:type="dcterms:W3CDTF">2021-10-17T21:05:54Z</dcterms:created>
  <dcterms:modified xsi:type="dcterms:W3CDTF">2021-12-21T20:41:14Z</dcterms:modified>
</cp:coreProperties>
</file>