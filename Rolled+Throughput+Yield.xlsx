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Courses\Certified Lean Six Green Belt\"/>
    </mc:Choice>
  </mc:AlternateContent>
  <xr:revisionPtr revIDLastSave="0" documentId="13_ncr:1_{7E4F546F-7358-4FE4-BADC-4A0763C1CCD9}" xr6:coauthVersionLast="47" xr6:coauthVersionMax="47" xr10:uidLastSave="{00000000-0000-0000-0000-000000000000}"/>
  <bookViews>
    <workbookView xWindow="-120" yWindow="-120" windowWidth="29040" windowHeight="15840" xr2:uid="{56DF413F-A5EA-45A1-9889-0C283A7E05CA}"/>
  </bookViews>
  <sheets>
    <sheet name="Rolled Throughput Yield (2)" sheetId="2" r:id="rId1"/>
    <sheet name="Rolled Throughput Yield (3)" sheetId="3" r:id="rId2"/>
    <sheet name="Rolled Throughput Yiel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2" l="1"/>
  <c r="F22" i="2"/>
  <c r="E15" i="2"/>
  <c r="E10" i="2"/>
  <c r="Z23" i="1"/>
  <c r="P23" i="1"/>
  <c r="F23" i="1"/>
  <c r="AF23" i="1" s="1"/>
  <c r="AG21" i="1" s="1"/>
  <c r="AF21" i="1"/>
  <c r="Y15" i="1"/>
  <c r="Y10" i="1" s="1"/>
  <c r="Y5" i="1" s="1"/>
  <c r="Z24" i="1" s="1"/>
  <c r="O15" i="1"/>
  <c r="O10" i="1" s="1"/>
  <c r="O5" i="1" s="1"/>
  <c r="P24" i="1" s="1"/>
  <c r="E15" i="1"/>
  <c r="E10" i="1" s="1"/>
  <c r="E5" i="1" s="1"/>
  <c r="AF5" i="1" l="1"/>
  <c r="AF6" i="1" s="1"/>
  <c r="F24" i="1"/>
</calcChain>
</file>

<file path=xl/sharedStrings.xml><?xml version="1.0" encoding="utf-8"?>
<sst xmlns="http://schemas.openxmlformats.org/spreadsheetml/2006/main" count="56" uniqueCount="29">
  <si>
    <t>Raw materials required</t>
  </si>
  <si>
    <t>Input to A1</t>
  </si>
  <si>
    <t xml:space="preserve"> Line A</t>
  </si>
  <si>
    <t>Input to B1</t>
  </si>
  <si>
    <t>Line B</t>
  </si>
  <si>
    <t>Input to C1</t>
  </si>
  <si>
    <t>Line C</t>
  </si>
  <si>
    <t>Mean</t>
  </si>
  <si>
    <t>A1</t>
  </si>
  <si>
    <t>B1</t>
  </si>
  <si>
    <t>C1</t>
  </si>
  <si>
    <t>Input to A2</t>
  </si>
  <si>
    <t>Input to B2</t>
  </si>
  <si>
    <t>Input to C2</t>
  </si>
  <si>
    <t>A2</t>
  </si>
  <si>
    <t>B2</t>
  </si>
  <si>
    <t>C2</t>
  </si>
  <si>
    <t>Input to A3</t>
  </si>
  <si>
    <t>Input to B3</t>
  </si>
  <si>
    <t>Input to C3</t>
  </si>
  <si>
    <t>A3</t>
  </si>
  <si>
    <t>B3</t>
  </si>
  <si>
    <t>C3</t>
  </si>
  <si>
    <t>Normal distribution parameters for department output</t>
  </si>
  <si>
    <t>Stdev</t>
  </si>
  <si>
    <t>Variance</t>
  </si>
  <si>
    <t>Process Yield</t>
  </si>
  <si>
    <t>Output of Line A</t>
  </si>
  <si>
    <t>RTY: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</si>
</sst>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dashed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3" borderId="0" xfId="0" applyFill="1"/>
    <xf numFmtId="0" fontId="2" fillId="4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0" fontId="0" fillId="3" borderId="8" xfId="0" applyFill="1" applyBorder="1"/>
    <xf numFmtId="0" fontId="4" fillId="3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1" fontId="0" fillId="0" borderId="11" xfId="0" applyNumberFormat="1" applyBorder="1" applyAlignment="1">
      <alignment horizontal="center" vertical="center"/>
    </xf>
    <xf numFmtId="0" fontId="0" fillId="3" borderId="12" xfId="0" applyFill="1" applyBorder="1"/>
    <xf numFmtId="10" fontId="0" fillId="3" borderId="1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2" xfId="0" applyFill="1" applyBorder="1" applyAlignment="1">
      <alignment vertical="center"/>
    </xf>
    <xf numFmtId="0" fontId="0" fillId="3" borderId="14" xfId="0" applyFill="1" applyBorder="1"/>
    <xf numFmtId="10" fontId="0" fillId="3" borderId="0" xfId="1" applyNumberFormat="1" applyFont="1" applyFill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14" xfId="0" applyFill="1" applyBorder="1" applyAlignment="1">
      <alignment vertical="center"/>
    </xf>
    <xf numFmtId="0" fontId="4" fillId="3" borderId="0" xfId="0" applyFont="1" applyFill="1" applyAlignment="1">
      <alignment vertical="center"/>
    </xf>
    <xf numFmtId="165" fontId="0" fillId="3" borderId="1" xfId="1" applyNumberFormat="1" applyFont="1" applyFill="1" applyBorder="1" applyAlignment="1">
      <alignment horizontal="center" vertical="center" wrapText="1"/>
    </xf>
    <xf numFmtId="165" fontId="0" fillId="3" borderId="13" xfId="1" applyNumberFormat="1" applyFont="1" applyFill="1" applyBorder="1" applyAlignment="1">
      <alignment horizontal="center" vertical="center" wrapText="1"/>
    </xf>
    <xf numFmtId="165" fontId="0" fillId="3" borderId="2" xfId="1" applyNumberFormat="1" applyFont="1" applyFill="1" applyBorder="1" applyAlignment="1">
      <alignment horizontal="center" vertical="center" wrapText="1"/>
    </xf>
    <xf numFmtId="165" fontId="0" fillId="3" borderId="15" xfId="1" applyNumberFormat="1" applyFont="1" applyFill="1" applyBorder="1" applyAlignment="1">
      <alignment horizontal="center" vertical="center" wrapText="1"/>
    </xf>
    <xf numFmtId="165" fontId="0" fillId="3" borderId="0" xfId="1" applyNumberFormat="1" applyFont="1" applyFill="1" applyBorder="1" applyAlignment="1">
      <alignment horizontal="center" vertical="center" wrapText="1"/>
    </xf>
    <xf numFmtId="165" fontId="0" fillId="3" borderId="16" xfId="1" applyNumberFormat="1" applyFont="1" applyFill="1" applyBorder="1" applyAlignment="1">
      <alignment horizontal="center" vertical="center" wrapText="1"/>
    </xf>
    <xf numFmtId="165" fontId="0" fillId="3" borderId="3" xfId="1" applyNumberFormat="1" applyFont="1" applyFill="1" applyBorder="1" applyAlignment="1">
      <alignment horizontal="center" vertical="center" wrapText="1"/>
    </xf>
    <xf numFmtId="165" fontId="0" fillId="3" borderId="17" xfId="1" applyNumberFormat="1" applyFont="1" applyFill="1" applyBorder="1" applyAlignment="1">
      <alignment horizontal="center" vertical="center" wrapText="1"/>
    </xf>
    <xf numFmtId="165" fontId="0" fillId="3" borderId="4" xfId="1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right"/>
    </xf>
    <xf numFmtId="164" fontId="0" fillId="3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8" xfId="0" applyFill="1" applyBorder="1"/>
    <xf numFmtId="0" fontId="0" fillId="3" borderId="6" xfId="0" applyFill="1" applyBorder="1"/>
    <xf numFmtId="0" fontId="0" fillId="3" borderId="19" xfId="0" applyFill="1" applyBorder="1"/>
    <xf numFmtId="164" fontId="0" fillId="0" borderId="1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/>
    </xf>
    <xf numFmtId="3" fontId="0" fillId="3" borderId="7" xfId="0" applyNumberForma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3" fontId="0" fillId="0" borderId="21" xfId="0" applyNumberFormat="1" applyBorder="1" applyAlignment="1">
      <alignment horizontal="center"/>
    </xf>
    <xf numFmtId="3" fontId="0" fillId="0" borderId="22" xfId="0" applyNumberForma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0" fontId="2" fillId="4" borderId="20" xfId="0" applyFont="1" applyFill="1" applyBorder="1" applyAlignment="1">
      <alignment horizontal="center" vertical="center"/>
    </xf>
    <xf numFmtId="10" fontId="0" fillId="0" borderId="21" xfId="1" applyNumberFormat="1" applyFont="1" applyBorder="1" applyAlignment="1">
      <alignment horizontal="center" vertical="center"/>
    </xf>
    <xf numFmtId="10" fontId="0" fillId="0" borderId="22" xfId="1" applyNumberFormat="1" applyFont="1" applyBorder="1" applyAlignment="1">
      <alignment horizontal="center" vertical="center"/>
    </xf>
    <xf numFmtId="10" fontId="0" fillId="0" borderId="23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119744</xdr:colOff>
      <xdr:row>8</xdr:row>
      <xdr:rowOff>5443</xdr:rowOff>
    </xdr:from>
    <xdr:to>
      <xdr:col>7</xdr:col>
      <xdr:colOff>119744</xdr:colOff>
      <xdr:row>10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2BDF705-807A-4B04-A4D0-05D23FB1B1DE}"/>
            </a:ext>
          </a:extLst>
        </xdr:cNvPr>
        <xdr:cNvCxnSpPr/>
      </xdr:nvCxnSpPr>
      <xdr:spPr>
        <a:xfrm>
          <a:off x="2215244" y="1567543"/>
          <a:ext cx="0" cy="385082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125189</xdr:colOff>
      <xdr:row>13</xdr:row>
      <xdr:rowOff>0</xdr:rowOff>
    </xdr:from>
    <xdr:to>
      <xdr:col>7</xdr:col>
      <xdr:colOff>125189</xdr:colOff>
      <xdr:row>14</xdr:row>
      <xdr:rowOff>195943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0FE1E9B-C162-4D45-9639-5EC0D4A1F276}"/>
            </a:ext>
          </a:extLst>
        </xdr:cNvPr>
        <xdr:cNvCxnSpPr/>
      </xdr:nvCxnSpPr>
      <xdr:spPr>
        <a:xfrm>
          <a:off x="2220689" y="2533650"/>
          <a:ext cx="0" cy="386443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125186</xdr:colOff>
      <xdr:row>17</xdr:row>
      <xdr:rowOff>195946</xdr:rowOff>
    </xdr:from>
    <xdr:to>
      <xdr:col>7</xdr:col>
      <xdr:colOff>125186</xdr:colOff>
      <xdr:row>20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7C33F23-C28A-4466-ABD1-46025884E076}"/>
            </a:ext>
          </a:extLst>
        </xdr:cNvPr>
        <xdr:cNvCxnSpPr/>
      </xdr:nvCxnSpPr>
      <xdr:spPr>
        <a:xfrm>
          <a:off x="2220686" y="3510646"/>
          <a:ext cx="0" cy="394608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119744</xdr:colOff>
      <xdr:row>8</xdr:row>
      <xdr:rowOff>5443</xdr:rowOff>
    </xdr:from>
    <xdr:to>
      <xdr:col>7</xdr:col>
      <xdr:colOff>119744</xdr:colOff>
      <xdr:row>10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C0D66EE-2B5F-427C-8C85-540A980B5F1B}"/>
            </a:ext>
          </a:extLst>
        </xdr:cNvPr>
        <xdr:cNvCxnSpPr/>
      </xdr:nvCxnSpPr>
      <xdr:spPr>
        <a:xfrm>
          <a:off x="2148569" y="1558018"/>
          <a:ext cx="0" cy="385082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125189</xdr:colOff>
      <xdr:row>13</xdr:row>
      <xdr:rowOff>0</xdr:rowOff>
    </xdr:from>
    <xdr:to>
      <xdr:col>7</xdr:col>
      <xdr:colOff>125189</xdr:colOff>
      <xdr:row>14</xdr:row>
      <xdr:rowOff>195943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C5EE27E-3FDE-46D0-8F64-0B9A3044176F}"/>
            </a:ext>
          </a:extLst>
        </xdr:cNvPr>
        <xdr:cNvCxnSpPr/>
      </xdr:nvCxnSpPr>
      <xdr:spPr>
        <a:xfrm>
          <a:off x="2154014" y="2524125"/>
          <a:ext cx="0" cy="386443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125186</xdr:colOff>
      <xdr:row>17</xdr:row>
      <xdr:rowOff>195946</xdr:rowOff>
    </xdr:from>
    <xdr:to>
      <xdr:col>7</xdr:col>
      <xdr:colOff>125186</xdr:colOff>
      <xdr:row>20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773F086-FADD-46C3-9086-E5F7864702B7}"/>
            </a:ext>
          </a:extLst>
        </xdr:cNvPr>
        <xdr:cNvCxnSpPr/>
      </xdr:nvCxnSpPr>
      <xdr:spPr>
        <a:xfrm>
          <a:off x="2154011" y="3491596"/>
          <a:ext cx="0" cy="394604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119744</xdr:colOff>
      <xdr:row>8</xdr:row>
      <xdr:rowOff>5443</xdr:rowOff>
    </xdr:from>
    <xdr:to>
      <xdr:col>7</xdr:col>
      <xdr:colOff>119744</xdr:colOff>
      <xdr:row>10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4374D18-0184-4BCF-B4F4-7EC758C8DBF5}"/>
            </a:ext>
          </a:extLst>
        </xdr:cNvPr>
        <xdr:cNvCxnSpPr/>
      </xdr:nvCxnSpPr>
      <xdr:spPr>
        <a:xfrm>
          <a:off x="3310619" y="1567543"/>
          <a:ext cx="0" cy="385082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125189</xdr:colOff>
      <xdr:row>7</xdr:row>
      <xdr:rowOff>201385</xdr:rowOff>
    </xdr:from>
    <xdr:to>
      <xdr:col>17</xdr:col>
      <xdr:colOff>125189</xdr:colOff>
      <xdr:row>9</xdr:row>
      <xdr:rowOff>195943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1F86509-BD17-4A70-A408-042F46145B43}"/>
            </a:ext>
          </a:extLst>
        </xdr:cNvPr>
        <xdr:cNvCxnSpPr/>
      </xdr:nvCxnSpPr>
      <xdr:spPr>
        <a:xfrm>
          <a:off x="6068789" y="1563460"/>
          <a:ext cx="0" cy="385083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125189</xdr:colOff>
      <xdr:row>7</xdr:row>
      <xdr:rowOff>201385</xdr:rowOff>
    </xdr:from>
    <xdr:to>
      <xdr:col>27</xdr:col>
      <xdr:colOff>125189</xdr:colOff>
      <xdr:row>9</xdr:row>
      <xdr:rowOff>195943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90CF3DA-F984-4848-9D78-42A6FC24110B}"/>
            </a:ext>
          </a:extLst>
        </xdr:cNvPr>
        <xdr:cNvCxnSpPr/>
      </xdr:nvCxnSpPr>
      <xdr:spPr>
        <a:xfrm>
          <a:off x="8821514" y="1563460"/>
          <a:ext cx="0" cy="385083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125189</xdr:colOff>
      <xdr:row>13</xdr:row>
      <xdr:rowOff>0</xdr:rowOff>
    </xdr:from>
    <xdr:to>
      <xdr:col>17</xdr:col>
      <xdr:colOff>125189</xdr:colOff>
      <xdr:row>14</xdr:row>
      <xdr:rowOff>195943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E6C0B49-F797-4DE4-AEAD-F2D04F56A413}"/>
            </a:ext>
          </a:extLst>
        </xdr:cNvPr>
        <xdr:cNvCxnSpPr/>
      </xdr:nvCxnSpPr>
      <xdr:spPr>
        <a:xfrm>
          <a:off x="6068789" y="2533650"/>
          <a:ext cx="0" cy="386443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125189</xdr:colOff>
      <xdr:row>13</xdr:row>
      <xdr:rowOff>0</xdr:rowOff>
    </xdr:from>
    <xdr:to>
      <xdr:col>27</xdr:col>
      <xdr:colOff>125189</xdr:colOff>
      <xdr:row>14</xdr:row>
      <xdr:rowOff>195943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9CCFA2C-6BC7-4C85-9429-533512A15D2C}"/>
            </a:ext>
          </a:extLst>
        </xdr:cNvPr>
        <xdr:cNvCxnSpPr/>
      </xdr:nvCxnSpPr>
      <xdr:spPr>
        <a:xfrm>
          <a:off x="8821514" y="2533650"/>
          <a:ext cx="0" cy="386443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125189</xdr:colOff>
      <xdr:row>13</xdr:row>
      <xdr:rowOff>0</xdr:rowOff>
    </xdr:from>
    <xdr:to>
      <xdr:col>7</xdr:col>
      <xdr:colOff>125189</xdr:colOff>
      <xdr:row>14</xdr:row>
      <xdr:rowOff>195943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6AB4689-A753-476D-9B42-E7CE1AD4CEA6}"/>
            </a:ext>
          </a:extLst>
        </xdr:cNvPr>
        <xdr:cNvCxnSpPr/>
      </xdr:nvCxnSpPr>
      <xdr:spPr>
        <a:xfrm>
          <a:off x="3316064" y="2533650"/>
          <a:ext cx="0" cy="386443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125186</xdr:colOff>
      <xdr:row>17</xdr:row>
      <xdr:rowOff>195946</xdr:rowOff>
    </xdr:from>
    <xdr:to>
      <xdr:col>17</xdr:col>
      <xdr:colOff>125186</xdr:colOff>
      <xdr:row>20</xdr:row>
      <xdr:rowOff>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8DAAB35-5EC9-40D9-9BEA-CAED0AE4144E}"/>
            </a:ext>
          </a:extLst>
        </xdr:cNvPr>
        <xdr:cNvCxnSpPr/>
      </xdr:nvCxnSpPr>
      <xdr:spPr>
        <a:xfrm>
          <a:off x="6068786" y="3510646"/>
          <a:ext cx="0" cy="394608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125186</xdr:colOff>
      <xdr:row>17</xdr:row>
      <xdr:rowOff>195946</xdr:rowOff>
    </xdr:from>
    <xdr:to>
      <xdr:col>27</xdr:col>
      <xdr:colOff>125186</xdr:colOff>
      <xdr:row>20</xdr:row>
      <xdr:rowOff>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AB606FC-4559-45E7-A086-BE85993E582F}"/>
            </a:ext>
          </a:extLst>
        </xdr:cNvPr>
        <xdr:cNvCxnSpPr/>
      </xdr:nvCxnSpPr>
      <xdr:spPr>
        <a:xfrm>
          <a:off x="8821511" y="3510646"/>
          <a:ext cx="0" cy="394608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125186</xdr:colOff>
      <xdr:row>17</xdr:row>
      <xdr:rowOff>195946</xdr:rowOff>
    </xdr:from>
    <xdr:to>
      <xdr:col>7</xdr:col>
      <xdr:colOff>125186</xdr:colOff>
      <xdr:row>20</xdr:row>
      <xdr:rowOff>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6342A9B-FE82-4958-BC21-743F64888003}"/>
            </a:ext>
          </a:extLst>
        </xdr:cNvPr>
        <xdr:cNvCxnSpPr/>
      </xdr:nvCxnSpPr>
      <xdr:spPr>
        <a:xfrm>
          <a:off x="3316061" y="3510646"/>
          <a:ext cx="0" cy="394608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9BB5-30FE-4735-B6C0-EDF696FC1CAE}">
  <dimension ref="D3:L24"/>
  <sheetViews>
    <sheetView showGridLines="0" tabSelected="1" zoomScale="145" zoomScaleNormal="145" workbookViewId="0">
      <selection activeCell="W19" sqref="W19"/>
    </sheetView>
  </sheetViews>
  <sheetFormatPr defaultRowHeight="15" x14ac:dyDescent="0.25"/>
  <cols>
    <col min="1" max="4" width="3.28515625" customWidth="1"/>
    <col min="5" max="5" width="10.7109375" style="1" bestFit="1" customWidth="1"/>
    <col min="6" max="49" width="3.28515625" customWidth="1"/>
  </cols>
  <sheetData>
    <row r="3" spans="4:12" ht="15.75" thickBot="1" x14ac:dyDescent="0.3"/>
    <row r="4" spans="4:12" x14ac:dyDescent="0.25">
      <c r="D4" s="6"/>
      <c r="E4" s="7" t="s">
        <v>1</v>
      </c>
      <c r="F4" s="8" t="s">
        <v>2</v>
      </c>
      <c r="G4" s="8"/>
      <c r="H4" s="8"/>
      <c r="I4" s="8"/>
      <c r="J4" s="8"/>
      <c r="K4" s="9"/>
      <c r="L4" s="9"/>
    </row>
    <row r="5" spans="4:12" ht="15.75" thickBot="1" x14ac:dyDescent="0.3">
      <c r="D5" s="6"/>
      <c r="E5" s="58">
        <v>10000</v>
      </c>
      <c r="F5" s="12"/>
      <c r="G5" s="13" t="s">
        <v>8</v>
      </c>
      <c r="H5" s="12"/>
      <c r="I5" s="12"/>
      <c r="J5" s="14"/>
      <c r="K5" s="6"/>
      <c r="L5" s="6"/>
    </row>
    <row r="6" spans="4:12" x14ac:dyDescent="0.25">
      <c r="D6" s="6"/>
      <c r="E6" s="10"/>
      <c r="F6" s="17"/>
      <c r="G6" s="18">
        <v>7.2999999999999995E-2</v>
      </c>
      <c r="H6" s="19"/>
      <c r="I6" s="20"/>
      <c r="J6" s="21"/>
      <c r="K6" s="22"/>
      <c r="L6" s="22"/>
    </row>
    <row r="7" spans="4:12" x14ac:dyDescent="0.25">
      <c r="D7" s="6"/>
      <c r="E7" s="10"/>
      <c r="F7" s="17"/>
      <c r="G7" s="26"/>
      <c r="H7" s="27"/>
      <c r="I7" s="28"/>
      <c r="J7" s="21"/>
      <c r="K7" s="22"/>
      <c r="L7" s="22"/>
    </row>
    <row r="8" spans="4:12" ht="15.75" thickBot="1" x14ac:dyDescent="0.3">
      <c r="D8" s="6"/>
      <c r="E8" s="10"/>
      <c r="F8" s="17"/>
      <c r="G8" s="29"/>
      <c r="H8" s="30"/>
      <c r="I8" s="31"/>
      <c r="J8" s="21"/>
      <c r="K8" s="22"/>
      <c r="L8" s="22"/>
    </row>
    <row r="9" spans="4:12" x14ac:dyDescent="0.25">
      <c r="D9" s="6"/>
      <c r="E9" s="7" t="s">
        <v>11</v>
      </c>
      <c r="F9" s="6"/>
      <c r="G9" s="32"/>
      <c r="H9" s="32"/>
      <c r="I9" s="32"/>
      <c r="J9" s="33"/>
      <c r="K9" s="32"/>
      <c r="L9" s="32"/>
    </row>
    <row r="10" spans="4:12" ht="15.75" thickBot="1" x14ac:dyDescent="0.3">
      <c r="D10" s="6"/>
      <c r="E10" s="58">
        <f>E5*(1-G6)</f>
        <v>9270</v>
      </c>
      <c r="F10" s="6"/>
      <c r="G10" s="34" t="s">
        <v>14</v>
      </c>
      <c r="H10" s="32"/>
      <c r="I10" s="32"/>
      <c r="J10" s="33"/>
      <c r="K10" s="32"/>
      <c r="L10" s="32"/>
    </row>
    <row r="11" spans="4:12" x14ac:dyDescent="0.25">
      <c r="D11" s="6"/>
      <c r="E11" s="10"/>
      <c r="F11" s="17"/>
      <c r="G11" s="18">
        <v>2.1999999999999999E-2</v>
      </c>
      <c r="H11" s="19"/>
      <c r="I11" s="20"/>
      <c r="J11" s="21"/>
      <c r="K11" s="22"/>
      <c r="L11" s="22"/>
    </row>
    <row r="12" spans="4:12" x14ac:dyDescent="0.25">
      <c r="D12" s="6"/>
      <c r="E12" s="10"/>
      <c r="F12" s="17"/>
      <c r="G12" s="26"/>
      <c r="H12" s="27"/>
      <c r="I12" s="28"/>
      <c r="J12" s="21"/>
      <c r="K12" s="22"/>
      <c r="L12" s="22"/>
    </row>
    <row r="13" spans="4:12" ht="15.75" thickBot="1" x14ac:dyDescent="0.3">
      <c r="D13" s="6"/>
      <c r="E13" s="10"/>
      <c r="F13" s="17"/>
      <c r="G13" s="29"/>
      <c r="H13" s="30"/>
      <c r="I13" s="31"/>
      <c r="J13" s="21"/>
      <c r="K13" s="22"/>
      <c r="L13" s="22"/>
    </row>
    <row r="14" spans="4:12" x14ac:dyDescent="0.25">
      <c r="D14" s="6"/>
      <c r="E14" s="7" t="s">
        <v>17</v>
      </c>
      <c r="F14" s="6"/>
      <c r="G14" s="32"/>
      <c r="H14" s="32"/>
      <c r="I14" s="32"/>
      <c r="J14" s="33"/>
      <c r="K14" s="32"/>
      <c r="L14" s="32"/>
    </row>
    <row r="15" spans="4:12" ht="15.75" thickBot="1" x14ac:dyDescent="0.3">
      <c r="D15" s="6"/>
      <c r="E15" s="58">
        <f>E10*(1-G11)</f>
        <v>9066.06</v>
      </c>
      <c r="F15" s="6"/>
      <c r="G15" s="34" t="s">
        <v>20</v>
      </c>
      <c r="H15" s="32"/>
      <c r="I15" s="32"/>
      <c r="J15" s="33"/>
      <c r="K15" s="32"/>
      <c r="L15" s="32"/>
    </row>
    <row r="16" spans="4:12" x14ac:dyDescent="0.25">
      <c r="D16" s="44"/>
      <c r="E16" s="45"/>
      <c r="F16" s="17"/>
      <c r="G16" s="18">
        <v>3.3000000000000002E-2</v>
      </c>
      <c r="H16" s="19"/>
      <c r="I16" s="20"/>
      <c r="J16" s="21"/>
      <c r="K16" s="22"/>
      <c r="L16" s="22"/>
    </row>
    <row r="17" spans="4:12" x14ac:dyDescent="0.25">
      <c r="D17" s="6"/>
      <c r="E17" s="45"/>
      <c r="F17" s="17"/>
      <c r="G17" s="26"/>
      <c r="H17" s="27"/>
      <c r="I17" s="28"/>
      <c r="J17" s="21"/>
      <c r="K17" s="22"/>
      <c r="L17" s="22"/>
    </row>
    <row r="18" spans="4:12" ht="15.75" thickBot="1" x14ac:dyDescent="0.3">
      <c r="D18" s="6"/>
      <c r="E18" s="10"/>
      <c r="F18" s="17"/>
      <c r="G18" s="29"/>
      <c r="H18" s="30"/>
      <c r="I18" s="31"/>
      <c r="J18" s="21"/>
      <c r="K18" s="22"/>
      <c r="L18" s="22"/>
    </row>
    <row r="19" spans="4:12" x14ac:dyDescent="0.25">
      <c r="D19" s="6"/>
      <c r="E19" s="10"/>
      <c r="F19" s="47"/>
      <c r="G19" s="48"/>
      <c r="H19" s="48"/>
      <c r="I19" s="48"/>
      <c r="J19" s="49"/>
      <c r="K19" s="6"/>
      <c r="L19" s="6"/>
    </row>
    <row r="20" spans="4:12" ht="15.75" thickBot="1" x14ac:dyDescent="0.3">
      <c r="D20" s="6"/>
      <c r="E20" s="10"/>
      <c r="F20" s="6"/>
      <c r="G20" s="6"/>
      <c r="H20" s="6"/>
      <c r="I20" s="6"/>
      <c r="J20" s="6"/>
      <c r="K20" s="6"/>
      <c r="L20" s="6"/>
    </row>
    <row r="21" spans="4:12" ht="15.75" thickBot="1" x14ac:dyDescent="0.3">
      <c r="F21" s="59" t="s">
        <v>27</v>
      </c>
      <c r="G21" s="60"/>
      <c r="H21" s="60"/>
      <c r="I21" s="60"/>
      <c r="J21" s="61"/>
    </row>
    <row r="22" spans="4:12" ht="15.75" thickBot="1" x14ac:dyDescent="0.3">
      <c r="F22" s="62">
        <f>E15*(1-G16)</f>
        <v>8766.8800199999987</v>
      </c>
      <c r="G22" s="63"/>
      <c r="H22" s="63"/>
      <c r="I22" s="63"/>
      <c r="J22" s="64"/>
    </row>
    <row r="23" spans="4:12" ht="15.75" thickBot="1" x14ac:dyDescent="0.3"/>
    <row r="24" spans="4:12" ht="15.75" thickBot="1" x14ac:dyDescent="0.3">
      <c r="E24" s="65" t="s">
        <v>28</v>
      </c>
      <c r="F24" s="66">
        <f>F22/E5</f>
        <v>0.87668800199999986</v>
      </c>
      <c r="G24" s="67"/>
      <c r="H24" s="67"/>
      <c r="I24" s="67"/>
      <c r="J24" s="68"/>
    </row>
  </sheetData>
  <mergeCells count="7">
    <mergeCell ref="F24:J24"/>
    <mergeCell ref="F21:J21"/>
    <mergeCell ref="F22:J22"/>
    <mergeCell ref="G11:I13"/>
    <mergeCell ref="G16:I18"/>
    <mergeCell ref="F4:J4"/>
    <mergeCell ref="G6:I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D7E9-47FF-4720-8749-E5AF9B03AB33}">
  <dimension ref="D3:L24"/>
  <sheetViews>
    <sheetView showGridLines="0" zoomScale="145" zoomScaleNormal="145" workbookViewId="0">
      <selection activeCell="V16" sqref="V16"/>
    </sheetView>
  </sheetViews>
  <sheetFormatPr defaultRowHeight="15" x14ac:dyDescent="0.25"/>
  <cols>
    <col min="1" max="4" width="3.28515625" customWidth="1"/>
    <col min="5" max="5" width="10.7109375" style="1" bestFit="1" customWidth="1"/>
    <col min="6" max="49" width="3.28515625" customWidth="1"/>
  </cols>
  <sheetData>
    <row r="3" spans="4:12" ht="15.75" thickBot="1" x14ac:dyDescent="0.3"/>
    <row r="4" spans="4:12" x14ac:dyDescent="0.25">
      <c r="D4" s="6"/>
      <c r="E4" s="7" t="s">
        <v>1</v>
      </c>
      <c r="F4" s="8" t="s">
        <v>2</v>
      </c>
      <c r="G4" s="8"/>
      <c r="H4" s="8"/>
      <c r="I4" s="8"/>
      <c r="J4" s="8"/>
      <c r="K4" s="9"/>
      <c r="L4" s="9"/>
    </row>
    <row r="5" spans="4:12" ht="15.75" thickBot="1" x14ac:dyDescent="0.3">
      <c r="D5" s="6"/>
      <c r="E5" s="58">
        <v>10000</v>
      </c>
      <c r="F5" s="12"/>
      <c r="G5" s="13" t="s">
        <v>8</v>
      </c>
      <c r="H5" s="12"/>
      <c r="I5" s="12"/>
      <c r="J5" s="14"/>
      <c r="K5" s="6"/>
      <c r="L5" s="6"/>
    </row>
    <row r="6" spans="4:12" x14ac:dyDescent="0.25">
      <c r="D6" s="6"/>
      <c r="E6" s="10"/>
      <c r="F6" s="17"/>
      <c r="G6" s="18">
        <v>7.2999999999999995E-2</v>
      </c>
      <c r="H6" s="19"/>
      <c r="I6" s="20"/>
      <c r="J6" s="21"/>
      <c r="K6" s="22"/>
      <c r="L6" s="22"/>
    </row>
    <row r="7" spans="4:12" x14ac:dyDescent="0.25">
      <c r="D7" s="6"/>
      <c r="E7" s="10"/>
      <c r="F7" s="17"/>
      <c r="G7" s="26"/>
      <c r="H7" s="27"/>
      <c r="I7" s="28"/>
      <c r="J7" s="21"/>
      <c r="K7" s="22"/>
      <c r="L7" s="22"/>
    </row>
    <row r="8" spans="4:12" ht="15.75" thickBot="1" x14ac:dyDescent="0.3">
      <c r="D8" s="6"/>
      <c r="E8" s="10"/>
      <c r="F8" s="17"/>
      <c r="G8" s="29"/>
      <c r="H8" s="30"/>
      <c r="I8" s="31"/>
      <c r="J8" s="21"/>
      <c r="K8" s="22"/>
      <c r="L8" s="22"/>
    </row>
    <row r="9" spans="4:12" x14ac:dyDescent="0.25">
      <c r="D9" s="6"/>
      <c r="E9" s="7" t="s">
        <v>11</v>
      </c>
      <c r="F9" s="6"/>
      <c r="G9" s="32"/>
      <c r="H9" s="32"/>
      <c r="I9" s="32"/>
      <c r="J9" s="33"/>
      <c r="K9" s="32"/>
      <c r="L9" s="32"/>
    </row>
    <row r="10" spans="4:12" ht="15.75" thickBot="1" x14ac:dyDescent="0.3">
      <c r="D10" s="6"/>
      <c r="E10" s="58"/>
      <c r="F10" s="6"/>
      <c r="G10" s="34" t="s">
        <v>14</v>
      </c>
      <c r="H10" s="32"/>
      <c r="I10" s="32"/>
      <c r="J10" s="33"/>
      <c r="K10" s="32"/>
      <c r="L10" s="32"/>
    </row>
    <row r="11" spans="4:12" x14ac:dyDescent="0.25">
      <c r="D11" s="6"/>
      <c r="E11" s="10"/>
      <c r="F11" s="17"/>
      <c r="G11" s="18">
        <v>2.1999999999999999E-2</v>
      </c>
      <c r="H11" s="19"/>
      <c r="I11" s="20"/>
      <c r="J11" s="21"/>
      <c r="K11" s="22"/>
      <c r="L11" s="22"/>
    </row>
    <row r="12" spans="4:12" x14ac:dyDescent="0.25">
      <c r="D12" s="6"/>
      <c r="E12" s="10"/>
      <c r="F12" s="17"/>
      <c r="G12" s="26"/>
      <c r="H12" s="27"/>
      <c r="I12" s="28"/>
      <c r="J12" s="21"/>
      <c r="K12" s="22"/>
      <c r="L12" s="22"/>
    </row>
    <row r="13" spans="4:12" ht="15.75" thickBot="1" x14ac:dyDescent="0.3">
      <c r="D13" s="6"/>
      <c r="E13" s="10"/>
      <c r="F13" s="17"/>
      <c r="G13" s="29"/>
      <c r="H13" s="30"/>
      <c r="I13" s="31"/>
      <c r="J13" s="21"/>
      <c r="K13" s="22"/>
      <c r="L13" s="22"/>
    </row>
    <row r="14" spans="4:12" x14ac:dyDescent="0.25">
      <c r="D14" s="6"/>
      <c r="E14" s="7" t="s">
        <v>17</v>
      </c>
      <c r="F14" s="6"/>
      <c r="G14" s="32"/>
      <c r="H14" s="32"/>
      <c r="I14" s="32"/>
      <c r="J14" s="33"/>
      <c r="K14" s="32"/>
      <c r="L14" s="32"/>
    </row>
    <row r="15" spans="4:12" ht="15.75" thickBot="1" x14ac:dyDescent="0.3">
      <c r="D15" s="6"/>
      <c r="E15" s="58"/>
      <c r="F15" s="6"/>
      <c r="G15" s="34" t="s">
        <v>20</v>
      </c>
      <c r="H15" s="32"/>
      <c r="I15" s="32"/>
      <c r="J15" s="33"/>
      <c r="K15" s="32"/>
      <c r="L15" s="32"/>
    </row>
    <row r="16" spans="4:12" x14ac:dyDescent="0.25">
      <c r="D16" s="44"/>
      <c r="E16" s="45"/>
      <c r="F16" s="17"/>
      <c r="G16" s="18">
        <v>3.3000000000000002E-2</v>
      </c>
      <c r="H16" s="19"/>
      <c r="I16" s="20"/>
      <c r="J16" s="21"/>
      <c r="K16" s="22"/>
      <c r="L16" s="22"/>
    </row>
    <row r="17" spans="4:12" x14ac:dyDescent="0.25">
      <c r="D17" s="6"/>
      <c r="E17" s="45"/>
      <c r="F17" s="17"/>
      <c r="G17" s="26"/>
      <c r="H17" s="27"/>
      <c r="I17" s="28"/>
      <c r="J17" s="21"/>
      <c r="K17" s="22"/>
      <c r="L17" s="22"/>
    </row>
    <row r="18" spans="4:12" ht="15.75" thickBot="1" x14ac:dyDescent="0.3">
      <c r="D18" s="6"/>
      <c r="E18" s="10"/>
      <c r="F18" s="17"/>
      <c r="G18" s="29"/>
      <c r="H18" s="30"/>
      <c r="I18" s="31"/>
      <c r="J18" s="21"/>
      <c r="K18" s="22"/>
      <c r="L18" s="22"/>
    </row>
    <row r="19" spans="4:12" x14ac:dyDescent="0.25">
      <c r="D19" s="6"/>
      <c r="E19" s="10"/>
      <c r="F19" s="47"/>
      <c r="G19" s="48"/>
      <c r="H19" s="48"/>
      <c r="I19" s="48"/>
      <c r="J19" s="49"/>
      <c r="K19" s="6"/>
      <c r="L19" s="6"/>
    </row>
    <row r="20" spans="4:12" ht="15.75" thickBot="1" x14ac:dyDescent="0.3">
      <c r="D20" s="6"/>
      <c r="E20" s="10"/>
      <c r="F20" s="6"/>
      <c r="G20" s="6"/>
      <c r="H20" s="6"/>
      <c r="I20" s="6"/>
      <c r="J20" s="6"/>
      <c r="K20" s="6"/>
      <c r="L20" s="6"/>
    </row>
    <row r="21" spans="4:12" ht="15.75" thickBot="1" x14ac:dyDescent="0.3">
      <c r="F21" s="59" t="s">
        <v>27</v>
      </c>
      <c r="G21" s="60"/>
      <c r="H21" s="60"/>
      <c r="I21" s="60"/>
      <c r="J21" s="61"/>
    </row>
    <row r="22" spans="4:12" ht="15.75" thickBot="1" x14ac:dyDescent="0.3">
      <c r="F22" s="62"/>
      <c r="G22" s="63"/>
      <c r="H22" s="63"/>
      <c r="I22" s="63"/>
      <c r="J22" s="64"/>
    </row>
    <row r="23" spans="4:12" ht="5.25" customHeight="1" thickBot="1" x14ac:dyDescent="0.3"/>
    <row r="24" spans="4:12" ht="15.75" thickBot="1" x14ac:dyDescent="0.3">
      <c r="E24" s="65" t="s">
        <v>28</v>
      </c>
      <c r="F24" s="66"/>
      <c r="G24" s="67"/>
      <c r="H24" s="67"/>
      <c r="I24" s="67"/>
      <c r="J24" s="68"/>
    </row>
  </sheetData>
  <mergeCells count="7">
    <mergeCell ref="F24:J24"/>
    <mergeCell ref="F4:J4"/>
    <mergeCell ref="G6:I8"/>
    <mergeCell ref="G11:I13"/>
    <mergeCell ref="G16:I18"/>
    <mergeCell ref="F21:J21"/>
    <mergeCell ref="F22:J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6F5A-65BA-476D-80E6-E258B39E6111}">
  <dimension ref="D1:AG24"/>
  <sheetViews>
    <sheetView showGridLines="0" zoomScale="145" zoomScaleNormal="145" workbookViewId="0">
      <selection activeCell="AH10" sqref="AH10"/>
    </sheetView>
  </sheetViews>
  <sheetFormatPr defaultRowHeight="15" x14ac:dyDescent="0.25"/>
  <cols>
    <col min="1" max="4" width="3.28515625" customWidth="1"/>
    <col min="5" max="5" width="11.7109375" style="1" customWidth="1"/>
    <col min="6" max="14" width="3.28515625" customWidth="1"/>
    <col min="15" max="15" width="11.7109375" style="1" customWidth="1"/>
    <col min="16" max="24" width="3.28515625" customWidth="1"/>
    <col min="25" max="25" width="11.7109375" style="1" customWidth="1"/>
    <col min="26" max="31" width="3.28515625" customWidth="1"/>
    <col min="32" max="32" width="14.85546875" style="1" customWidth="1"/>
    <col min="33" max="33" width="14.85546875" customWidth="1"/>
    <col min="34" max="34" width="10.7109375" customWidth="1"/>
    <col min="35" max="72" width="3.28515625" customWidth="1"/>
  </cols>
  <sheetData>
    <row r="1" spans="4:33" ht="15.75" thickBot="1" x14ac:dyDescent="0.3"/>
    <row r="2" spans="4:33" x14ac:dyDescent="0.25">
      <c r="AF2" s="2" t="s">
        <v>0</v>
      </c>
      <c r="AG2" s="3"/>
    </row>
    <row r="3" spans="4:33" ht="15.75" thickBot="1" x14ac:dyDescent="0.3">
      <c r="AF3" s="4"/>
      <c r="AG3" s="5"/>
    </row>
    <row r="4" spans="4:33" x14ac:dyDescent="0.25">
      <c r="D4" s="6"/>
      <c r="E4" s="7" t="s">
        <v>1</v>
      </c>
      <c r="F4" s="8" t="s">
        <v>2</v>
      </c>
      <c r="G4" s="8"/>
      <c r="H4" s="8"/>
      <c r="I4" s="8"/>
      <c r="J4" s="8"/>
      <c r="K4" s="9"/>
      <c r="L4" s="9"/>
      <c r="M4" s="9"/>
      <c r="N4" s="9"/>
      <c r="O4" s="7" t="s">
        <v>3</v>
      </c>
      <c r="P4" s="8" t="s">
        <v>4</v>
      </c>
      <c r="Q4" s="8"/>
      <c r="R4" s="8"/>
      <c r="S4" s="8"/>
      <c r="T4" s="8"/>
      <c r="U4" s="9"/>
      <c r="V4" s="9"/>
      <c r="W4" s="9"/>
      <c r="X4" s="9"/>
      <c r="Y4" s="7" t="s">
        <v>5</v>
      </c>
      <c r="Z4" s="8" t="s">
        <v>6</v>
      </c>
      <c r="AA4" s="8"/>
      <c r="AB4" s="8"/>
      <c r="AC4" s="8"/>
      <c r="AD4" s="8"/>
      <c r="AE4" s="6"/>
      <c r="AF4" s="10" t="s">
        <v>7</v>
      </c>
    </row>
    <row r="5" spans="4:33" ht="15.75" thickBot="1" x14ac:dyDescent="0.3">
      <c r="D5" s="6"/>
      <c r="E5" s="11">
        <f>E10/(1-G6)</f>
        <v>909.01209801203595</v>
      </c>
      <c r="F5" s="12"/>
      <c r="G5" s="13" t="s">
        <v>8</v>
      </c>
      <c r="H5" s="12"/>
      <c r="I5" s="12"/>
      <c r="J5" s="14"/>
      <c r="K5" s="6"/>
      <c r="L5" s="6"/>
      <c r="M5" s="6"/>
      <c r="N5" s="6"/>
      <c r="O5" s="11">
        <f>O10/(1-Q6)</f>
        <v>585.75758000981727</v>
      </c>
      <c r="P5" s="15"/>
      <c r="Q5" s="13" t="s">
        <v>9</v>
      </c>
      <c r="R5" s="12"/>
      <c r="S5" s="12"/>
      <c r="T5" s="14"/>
      <c r="U5" s="6"/>
      <c r="V5" s="6"/>
      <c r="W5" s="6"/>
      <c r="X5" s="6"/>
      <c r="Y5" s="11">
        <f>Y10/(1-AA6)</f>
        <v>1116.2385279746597</v>
      </c>
      <c r="Z5" s="15"/>
      <c r="AA5" s="13" t="s">
        <v>10</v>
      </c>
      <c r="AB5" s="12"/>
      <c r="AC5" s="12"/>
      <c r="AD5" s="14"/>
      <c r="AE5" s="6"/>
      <c r="AF5" s="16">
        <f>E5+O5+Y5</f>
        <v>2611.008205996513</v>
      </c>
    </row>
    <row r="6" spans="4:33" x14ac:dyDescent="0.25">
      <c r="D6" s="6"/>
      <c r="E6" s="10"/>
      <c r="F6" s="17"/>
      <c r="G6" s="18">
        <v>7.2999999999999995E-2</v>
      </c>
      <c r="H6" s="19"/>
      <c r="I6" s="20"/>
      <c r="J6" s="21"/>
      <c r="K6" s="22"/>
      <c r="L6" s="22"/>
      <c r="M6" s="22"/>
      <c r="N6" s="22"/>
      <c r="O6" s="10"/>
      <c r="P6" s="23"/>
      <c r="Q6" s="18">
        <v>4.3999999999999997E-2</v>
      </c>
      <c r="R6" s="19"/>
      <c r="S6" s="20"/>
      <c r="T6" s="21"/>
      <c r="U6" s="22"/>
      <c r="V6" s="22"/>
      <c r="W6" s="22"/>
      <c r="X6" s="22"/>
      <c r="Y6" s="10"/>
      <c r="Z6" s="23"/>
      <c r="AA6" s="18">
        <v>6.0999999999999999E-2</v>
      </c>
      <c r="AB6" s="19"/>
      <c r="AC6" s="20"/>
      <c r="AD6" s="24"/>
      <c r="AE6" s="6"/>
      <c r="AF6" s="25">
        <f>AF21/AF5</f>
        <v>0.89937672145452308</v>
      </c>
    </row>
    <row r="7" spans="4:33" x14ac:dyDescent="0.25">
      <c r="D7" s="6"/>
      <c r="E7" s="10"/>
      <c r="F7" s="17"/>
      <c r="G7" s="26"/>
      <c r="H7" s="27"/>
      <c r="I7" s="28"/>
      <c r="J7" s="21"/>
      <c r="K7" s="22"/>
      <c r="L7" s="22"/>
      <c r="M7" s="22"/>
      <c r="N7" s="22"/>
      <c r="O7" s="10"/>
      <c r="P7" s="23"/>
      <c r="Q7" s="26"/>
      <c r="R7" s="27"/>
      <c r="S7" s="28"/>
      <c r="T7" s="21"/>
      <c r="U7" s="22"/>
      <c r="V7" s="22"/>
      <c r="W7" s="22"/>
      <c r="X7" s="22"/>
      <c r="Y7" s="10"/>
      <c r="Z7" s="23"/>
      <c r="AA7" s="26"/>
      <c r="AB7" s="27"/>
      <c r="AC7" s="28"/>
      <c r="AD7" s="24"/>
      <c r="AE7" s="6"/>
      <c r="AF7" s="10"/>
    </row>
    <row r="8" spans="4:33" ht="15.75" thickBot="1" x14ac:dyDescent="0.3">
      <c r="D8" s="6"/>
      <c r="E8" s="10"/>
      <c r="F8" s="17"/>
      <c r="G8" s="29"/>
      <c r="H8" s="30"/>
      <c r="I8" s="31"/>
      <c r="J8" s="21"/>
      <c r="K8" s="22"/>
      <c r="L8" s="22"/>
      <c r="M8" s="22"/>
      <c r="N8" s="22"/>
      <c r="O8" s="10"/>
      <c r="P8" s="23"/>
      <c r="Q8" s="29"/>
      <c r="R8" s="30"/>
      <c r="S8" s="31"/>
      <c r="T8" s="21"/>
      <c r="U8" s="22"/>
      <c r="V8" s="22"/>
      <c r="W8" s="22"/>
      <c r="X8" s="22"/>
      <c r="Y8" s="10"/>
      <c r="Z8" s="23"/>
      <c r="AA8" s="29"/>
      <c r="AB8" s="30"/>
      <c r="AC8" s="31"/>
      <c r="AD8" s="24"/>
      <c r="AE8" s="6"/>
      <c r="AF8" s="10"/>
    </row>
    <row r="9" spans="4:33" x14ac:dyDescent="0.25">
      <c r="D9" s="6"/>
      <c r="E9" s="7" t="s">
        <v>11</v>
      </c>
      <c r="F9" s="6"/>
      <c r="G9" s="32"/>
      <c r="H9" s="32"/>
      <c r="I9" s="32"/>
      <c r="J9" s="33"/>
      <c r="K9" s="32"/>
      <c r="L9" s="32"/>
      <c r="M9" s="32"/>
      <c r="N9" s="32"/>
      <c r="O9" s="7" t="s">
        <v>12</v>
      </c>
      <c r="P9" s="23"/>
      <c r="Q9" s="32"/>
      <c r="R9" s="32"/>
      <c r="S9" s="32"/>
      <c r="T9" s="33"/>
      <c r="U9" s="32"/>
      <c r="V9" s="32"/>
      <c r="W9" s="32"/>
      <c r="X9" s="32"/>
      <c r="Y9" s="7" t="s">
        <v>13</v>
      </c>
      <c r="Z9" s="23"/>
      <c r="AA9" s="32"/>
      <c r="AB9" s="32"/>
      <c r="AC9" s="32"/>
      <c r="AD9" s="24"/>
      <c r="AE9" s="6"/>
      <c r="AF9" s="10"/>
    </row>
    <row r="10" spans="4:33" ht="15.75" thickBot="1" x14ac:dyDescent="0.3">
      <c r="D10" s="6"/>
      <c r="E10" s="11">
        <f>E15/(1-G11)</f>
        <v>842.6542148571574</v>
      </c>
      <c r="F10" s="6"/>
      <c r="G10" s="34" t="s">
        <v>14</v>
      </c>
      <c r="H10" s="32"/>
      <c r="I10" s="32"/>
      <c r="J10" s="33"/>
      <c r="K10" s="32"/>
      <c r="L10" s="32"/>
      <c r="M10" s="32"/>
      <c r="N10" s="32"/>
      <c r="O10" s="11">
        <f>O15/(1-Q11)</f>
        <v>559.98424648938533</v>
      </c>
      <c r="P10" s="23"/>
      <c r="Q10" s="34" t="s">
        <v>15</v>
      </c>
      <c r="R10" s="32"/>
      <c r="S10" s="32"/>
      <c r="T10" s="33"/>
      <c r="U10" s="32"/>
      <c r="V10" s="32"/>
      <c r="W10" s="32"/>
      <c r="X10" s="32"/>
      <c r="Y10" s="11">
        <f>Y15/(1-AA11)</f>
        <v>1048.1479777682055</v>
      </c>
      <c r="Z10" s="23"/>
      <c r="AA10" s="34" t="s">
        <v>16</v>
      </c>
      <c r="AB10" s="32"/>
      <c r="AC10" s="32"/>
      <c r="AD10" s="24"/>
      <c r="AE10" s="6"/>
      <c r="AF10" s="10"/>
    </row>
    <row r="11" spans="4:33" x14ac:dyDescent="0.25">
      <c r="D11" s="6"/>
      <c r="E11" s="10"/>
      <c r="F11" s="17"/>
      <c r="G11" s="18">
        <v>2.1999999999999999E-2</v>
      </c>
      <c r="H11" s="19"/>
      <c r="I11" s="20"/>
      <c r="J11" s="21"/>
      <c r="K11" s="22"/>
      <c r="L11" s="22"/>
      <c r="M11" s="22"/>
      <c r="N11" s="22"/>
      <c r="O11" s="10"/>
      <c r="P11" s="23"/>
      <c r="Q11" s="18">
        <v>8.9999999999999993E-3</v>
      </c>
      <c r="R11" s="19"/>
      <c r="S11" s="20"/>
      <c r="T11" s="21"/>
      <c r="U11" s="22"/>
      <c r="V11" s="22"/>
      <c r="W11" s="22"/>
      <c r="X11" s="22"/>
      <c r="Y11" s="10"/>
      <c r="Z11" s="23"/>
      <c r="AA11" s="35">
        <v>1.7999999999999999E-2</v>
      </c>
      <c r="AB11" s="36"/>
      <c r="AC11" s="37"/>
      <c r="AD11" s="24"/>
      <c r="AE11" s="6"/>
      <c r="AF11" s="10"/>
    </row>
    <row r="12" spans="4:33" x14ac:dyDescent="0.25">
      <c r="D12" s="6"/>
      <c r="E12" s="10"/>
      <c r="F12" s="17"/>
      <c r="G12" s="26"/>
      <c r="H12" s="27"/>
      <c r="I12" s="28"/>
      <c r="J12" s="21"/>
      <c r="K12" s="22"/>
      <c r="L12" s="22"/>
      <c r="M12" s="22"/>
      <c r="N12" s="22"/>
      <c r="O12" s="10"/>
      <c r="P12" s="23"/>
      <c r="Q12" s="26"/>
      <c r="R12" s="27"/>
      <c r="S12" s="28"/>
      <c r="T12" s="21"/>
      <c r="U12" s="22"/>
      <c r="V12" s="22"/>
      <c r="W12" s="22"/>
      <c r="X12" s="22"/>
      <c r="Y12" s="10"/>
      <c r="Z12" s="23"/>
      <c r="AA12" s="38"/>
      <c r="AB12" s="39"/>
      <c r="AC12" s="40"/>
      <c r="AD12" s="24"/>
      <c r="AE12" s="6"/>
      <c r="AF12" s="10"/>
    </row>
    <row r="13" spans="4:33" ht="15.75" thickBot="1" x14ac:dyDescent="0.3">
      <c r="D13" s="6"/>
      <c r="E13" s="10"/>
      <c r="F13" s="17"/>
      <c r="G13" s="29"/>
      <c r="H13" s="30"/>
      <c r="I13" s="31"/>
      <c r="J13" s="21"/>
      <c r="K13" s="22"/>
      <c r="L13" s="22"/>
      <c r="M13" s="22"/>
      <c r="N13" s="22"/>
      <c r="O13" s="10"/>
      <c r="P13" s="23"/>
      <c r="Q13" s="29"/>
      <c r="R13" s="30"/>
      <c r="S13" s="31"/>
      <c r="T13" s="21"/>
      <c r="U13" s="22"/>
      <c r="V13" s="22"/>
      <c r="W13" s="22"/>
      <c r="X13" s="22"/>
      <c r="Y13" s="10"/>
      <c r="Z13" s="23"/>
      <c r="AA13" s="41"/>
      <c r="AB13" s="42"/>
      <c r="AC13" s="43"/>
      <c r="AD13" s="24"/>
      <c r="AE13" s="6"/>
      <c r="AF13" s="10"/>
    </row>
    <row r="14" spans="4:33" x14ac:dyDescent="0.25">
      <c r="D14" s="6"/>
      <c r="E14" s="7" t="s">
        <v>17</v>
      </c>
      <c r="F14" s="6"/>
      <c r="G14" s="32"/>
      <c r="H14" s="32"/>
      <c r="I14" s="32"/>
      <c r="J14" s="33"/>
      <c r="K14" s="32"/>
      <c r="L14" s="32"/>
      <c r="M14" s="32"/>
      <c r="N14" s="32"/>
      <c r="O14" s="7" t="s">
        <v>18</v>
      </c>
      <c r="P14" s="23"/>
      <c r="Q14" s="32"/>
      <c r="R14" s="32"/>
      <c r="S14" s="32"/>
      <c r="T14" s="33"/>
      <c r="U14" s="32"/>
      <c r="V14" s="32"/>
      <c r="W14" s="32"/>
      <c r="X14" s="32"/>
      <c r="Y14" s="7" t="s">
        <v>19</v>
      </c>
      <c r="Z14" s="23"/>
      <c r="AA14" s="32"/>
      <c r="AB14" s="32"/>
      <c r="AC14" s="32"/>
      <c r="AD14" s="24"/>
      <c r="AE14" s="6"/>
      <c r="AF14" s="10"/>
    </row>
    <row r="15" spans="4:33" ht="15.75" thickBot="1" x14ac:dyDescent="0.3">
      <c r="D15" s="6"/>
      <c r="E15" s="11">
        <f>F21/(1-G16)</f>
        <v>824.11582213029988</v>
      </c>
      <c r="F15" s="6"/>
      <c r="G15" s="34" t="s">
        <v>20</v>
      </c>
      <c r="H15" s="32"/>
      <c r="I15" s="32"/>
      <c r="J15" s="33"/>
      <c r="K15" s="32"/>
      <c r="L15" s="32"/>
      <c r="M15" s="32"/>
      <c r="N15" s="32"/>
      <c r="O15" s="11">
        <f>P21/(1-Q16)</f>
        <v>554.94438827098088</v>
      </c>
      <c r="P15" s="23"/>
      <c r="Q15" s="34" t="s">
        <v>21</v>
      </c>
      <c r="R15" s="32"/>
      <c r="S15" s="32"/>
      <c r="T15" s="33"/>
      <c r="U15" s="32"/>
      <c r="V15" s="32"/>
      <c r="W15" s="32"/>
      <c r="X15" s="32"/>
      <c r="Y15" s="11">
        <f>Z21/(1-AA16)</f>
        <v>1029.2813141683778</v>
      </c>
      <c r="Z15" s="23"/>
      <c r="AA15" s="34" t="s">
        <v>22</v>
      </c>
      <c r="AB15" s="32"/>
      <c r="AC15" s="32"/>
      <c r="AD15" s="24"/>
      <c r="AE15" s="6"/>
      <c r="AF15" s="10"/>
    </row>
    <row r="16" spans="4:33" x14ac:dyDescent="0.25">
      <c r="D16" s="44"/>
      <c r="E16" s="45"/>
      <c r="F16" s="17"/>
      <c r="G16" s="18">
        <v>3.3000000000000002E-2</v>
      </c>
      <c r="H16" s="19"/>
      <c r="I16" s="20"/>
      <c r="J16" s="21"/>
      <c r="K16" s="22"/>
      <c r="L16" s="22"/>
      <c r="M16" s="22"/>
      <c r="N16" s="22"/>
      <c r="O16" s="10"/>
      <c r="P16" s="23"/>
      <c r="Q16" s="18">
        <v>1.0999999999999999E-2</v>
      </c>
      <c r="R16" s="19"/>
      <c r="S16" s="20"/>
      <c r="T16" s="21"/>
      <c r="U16" s="22"/>
      <c r="V16" s="22"/>
      <c r="W16" s="22"/>
      <c r="X16" s="22"/>
      <c r="Y16" s="10"/>
      <c r="Z16" s="23"/>
      <c r="AA16" s="18">
        <v>2.5999999999999999E-2</v>
      </c>
      <c r="AB16" s="19"/>
      <c r="AC16" s="20"/>
      <c r="AD16" s="24"/>
      <c r="AE16" s="6"/>
      <c r="AF16" s="10"/>
    </row>
    <row r="17" spans="4:33" ht="15.75" thickBot="1" x14ac:dyDescent="0.3">
      <c r="D17" s="6"/>
      <c r="E17" s="45"/>
      <c r="F17" s="17"/>
      <c r="G17" s="26"/>
      <c r="H17" s="27"/>
      <c r="I17" s="28"/>
      <c r="J17" s="21"/>
      <c r="K17" s="22"/>
      <c r="L17" s="22"/>
      <c r="M17" s="22"/>
      <c r="N17" s="22"/>
      <c r="O17" s="10"/>
      <c r="P17" s="23"/>
      <c r="Q17" s="26"/>
      <c r="R17" s="27"/>
      <c r="S17" s="28"/>
      <c r="T17" s="21"/>
      <c r="U17" s="22"/>
      <c r="V17" s="22"/>
      <c r="W17" s="22"/>
      <c r="X17" s="22"/>
      <c r="Y17" s="10"/>
      <c r="Z17" s="23"/>
      <c r="AA17" s="26"/>
      <c r="AB17" s="27"/>
      <c r="AC17" s="28"/>
      <c r="AD17" s="24"/>
      <c r="AE17" s="6"/>
      <c r="AF17" s="46"/>
      <c r="AG17" s="46"/>
    </row>
    <row r="18" spans="4:33" ht="15.75" thickBot="1" x14ac:dyDescent="0.3">
      <c r="D18" s="6"/>
      <c r="E18" s="10"/>
      <c r="F18" s="17"/>
      <c r="G18" s="29"/>
      <c r="H18" s="30"/>
      <c r="I18" s="31"/>
      <c r="J18" s="21"/>
      <c r="K18" s="22"/>
      <c r="L18" s="22"/>
      <c r="M18" s="22"/>
      <c r="N18" s="22"/>
      <c r="O18" s="10"/>
      <c r="P18" s="23"/>
      <c r="Q18" s="29"/>
      <c r="R18" s="30"/>
      <c r="S18" s="31"/>
      <c r="T18" s="21"/>
      <c r="U18" s="22"/>
      <c r="V18" s="22"/>
      <c r="W18" s="22"/>
      <c r="X18" s="22"/>
      <c r="Y18" s="10"/>
      <c r="Z18" s="23"/>
      <c r="AA18" s="29"/>
      <c r="AB18" s="30"/>
      <c r="AC18" s="31"/>
      <c r="AD18" s="24"/>
      <c r="AE18" s="6"/>
      <c r="AF18" s="2" t="s">
        <v>23</v>
      </c>
      <c r="AG18" s="3"/>
    </row>
    <row r="19" spans="4:33" ht="15.75" thickBot="1" x14ac:dyDescent="0.3">
      <c r="D19" s="6"/>
      <c r="E19" s="10"/>
      <c r="F19" s="47"/>
      <c r="G19" s="48"/>
      <c r="H19" s="48"/>
      <c r="I19" s="48"/>
      <c r="J19" s="49"/>
      <c r="K19" s="6"/>
      <c r="L19" s="6"/>
      <c r="M19" s="6"/>
      <c r="N19" s="6"/>
      <c r="O19" s="10"/>
      <c r="P19" s="47"/>
      <c r="Q19" s="48"/>
      <c r="R19" s="48"/>
      <c r="S19" s="48"/>
      <c r="T19" s="49"/>
      <c r="U19" s="6"/>
      <c r="V19" s="6"/>
      <c r="W19" s="6"/>
      <c r="X19" s="6"/>
      <c r="Y19" s="10"/>
      <c r="Z19" s="47"/>
      <c r="AA19" s="48"/>
      <c r="AB19" s="48"/>
      <c r="AC19" s="48"/>
      <c r="AD19" s="49"/>
      <c r="AE19" s="6"/>
      <c r="AF19" s="4"/>
      <c r="AG19" s="5"/>
    </row>
    <row r="20" spans="4:33" x14ac:dyDescent="0.25">
      <c r="D20" s="6"/>
      <c r="E20" s="10"/>
      <c r="F20" s="6"/>
      <c r="G20" s="6"/>
      <c r="H20" s="6"/>
      <c r="I20" s="6"/>
      <c r="J20" s="6"/>
      <c r="K20" s="6"/>
      <c r="L20" s="6"/>
      <c r="M20" s="6"/>
      <c r="N20" s="6"/>
      <c r="O20" s="10"/>
      <c r="P20" s="6"/>
      <c r="Q20" s="6"/>
      <c r="R20" s="6"/>
      <c r="S20" s="6"/>
      <c r="T20" s="6"/>
      <c r="U20" s="6"/>
      <c r="V20" s="6"/>
      <c r="W20" s="6"/>
      <c r="X20" s="6"/>
      <c r="Y20" s="10"/>
      <c r="Z20" s="6"/>
      <c r="AA20" s="6"/>
      <c r="AB20" s="6"/>
      <c r="AC20" s="6"/>
      <c r="AD20" s="6"/>
      <c r="AE20" s="6"/>
      <c r="AF20" s="10" t="s">
        <v>7</v>
      </c>
      <c r="AG20" s="1" t="s">
        <v>24</v>
      </c>
    </row>
    <row r="21" spans="4:33" x14ac:dyDescent="0.25">
      <c r="E21" s="1" t="s">
        <v>7</v>
      </c>
      <c r="F21" s="50">
        <v>796.92</v>
      </c>
      <c r="G21" s="50"/>
      <c r="H21" s="50"/>
      <c r="I21" s="50"/>
      <c r="J21" s="50"/>
      <c r="K21" s="51"/>
      <c r="L21" s="51"/>
      <c r="M21" s="51"/>
      <c r="N21" s="51"/>
      <c r="O21" s="1" t="s">
        <v>7</v>
      </c>
      <c r="P21" s="50">
        <v>548.84</v>
      </c>
      <c r="Q21" s="50"/>
      <c r="R21" s="50"/>
      <c r="S21" s="50"/>
      <c r="T21" s="50"/>
      <c r="U21" s="51"/>
      <c r="V21" s="51"/>
      <c r="W21" s="51"/>
      <c r="X21" s="51"/>
      <c r="Y21" s="1" t="s">
        <v>7</v>
      </c>
      <c r="Z21" s="50">
        <v>1002.52</v>
      </c>
      <c r="AA21" s="50"/>
      <c r="AB21" s="50"/>
      <c r="AC21" s="50"/>
      <c r="AD21" s="50"/>
      <c r="AF21" s="52">
        <f>SUM(F21,P21,Z21)</f>
        <v>2348.2799999999997</v>
      </c>
      <c r="AG21" s="53">
        <f>SQRT(AF23)</f>
        <v>32.332542945665956</v>
      </c>
    </row>
    <row r="22" spans="4:33" x14ac:dyDescent="0.25">
      <c r="E22" s="1" t="s">
        <v>24</v>
      </c>
      <c r="F22" s="54">
        <v>9.7079005626002033</v>
      </c>
      <c r="G22" s="54"/>
      <c r="H22" s="54"/>
      <c r="I22" s="54"/>
      <c r="J22" s="54"/>
      <c r="K22" s="55"/>
      <c r="L22" s="55"/>
      <c r="M22" s="55"/>
      <c r="N22" s="55"/>
      <c r="O22" s="1" t="s">
        <v>24</v>
      </c>
      <c r="P22" s="54">
        <v>5.0139804546886699</v>
      </c>
      <c r="Q22" s="54"/>
      <c r="R22" s="54"/>
      <c r="S22" s="54"/>
      <c r="T22" s="54"/>
      <c r="U22" s="55"/>
      <c r="V22" s="55"/>
      <c r="W22" s="55"/>
      <c r="X22" s="55"/>
      <c r="Y22" s="1" t="s">
        <v>24</v>
      </c>
      <c r="Z22" s="54">
        <v>30.430412419157253</v>
      </c>
      <c r="AA22" s="54"/>
      <c r="AB22" s="54"/>
      <c r="AC22" s="54"/>
      <c r="AD22" s="54"/>
    </row>
    <row r="23" spans="4:33" x14ac:dyDescent="0.25">
      <c r="E23" s="1" t="s">
        <v>25</v>
      </c>
      <c r="F23" s="54">
        <f>F22*F22</f>
        <v>94.243333333333339</v>
      </c>
      <c r="G23" s="56"/>
      <c r="H23" s="56"/>
      <c r="I23" s="56"/>
      <c r="J23" s="56"/>
      <c r="K23" s="1"/>
      <c r="L23" s="1"/>
      <c r="M23" s="1"/>
      <c r="N23" s="1"/>
      <c r="O23" s="1" t="s">
        <v>25</v>
      </c>
      <c r="P23" s="54">
        <f>P22*P22</f>
        <v>25.14</v>
      </c>
      <c r="Q23" s="56"/>
      <c r="R23" s="56"/>
      <c r="S23" s="56"/>
      <c r="T23" s="56"/>
      <c r="U23" s="1"/>
      <c r="V23" s="1"/>
      <c r="W23" s="1"/>
      <c r="X23" s="1"/>
      <c r="Y23" s="1" t="s">
        <v>25</v>
      </c>
      <c r="Z23" s="54">
        <f>Z22*Z22</f>
        <v>926.01</v>
      </c>
      <c r="AA23" s="56"/>
      <c r="AB23" s="56"/>
      <c r="AC23" s="56"/>
      <c r="AD23" s="56"/>
      <c r="AF23" s="53">
        <f>SUM(F23,P23,Z23)</f>
        <v>1045.3933333333334</v>
      </c>
    </row>
    <row r="24" spans="4:33" x14ac:dyDescent="0.25">
      <c r="E24" s="1" t="s">
        <v>26</v>
      </c>
      <c r="F24" s="57">
        <f>F21/E5</f>
        <v>0.87668800199999997</v>
      </c>
      <c r="G24" s="57"/>
      <c r="H24" s="57"/>
      <c r="I24" s="57"/>
      <c r="J24" s="57"/>
      <c r="O24" s="1" t="s">
        <v>26</v>
      </c>
      <c r="P24" s="57">
        <f>P21/O5</f>
        <v>0.93697464399999997</v>
      </c>
      <c r="Q24" s="57"/>
      <c r="R24" s="57"/>
      <c r="S24" s="57"/>
      <c r="T24" s="57"/>
      <c r="Y24" s="1" t="s">
        <v>26</v>
      </c>
      <c r="Z24" s="57">
        <f>Z21/Y5</f>
        <v>0.89812345199999999</v>
      </c>
      <c r="AA24" s="57"/>
      <c r="AB24" s="57"/>
      <c r="AC24" s="57"/>
      <c r="AD24" s="57"/>
    </row>
  </sheetData>
  <mergeCells count="26">
    <mergeCell ref="F23:J23"/>
    <mergeCell ref="P23:T23"/>
    <mergeCell ref="Z23:AD23"/>
    <mergeCell ref="F24:J24"/>
    <mergeCell ref="P24:T24"/>
    <mergeCell ref="Z24:AD24"/>
    <mergeCell ref="AF18:AG19"/>
    <mergeCell ref="F21:J21"/>
    <mergeCell ref="P21:T21"/>
    <mergeCell ref="Z21:AD21"/>
    <mergeCell ref="F22:J22"/>
    <mergeCell ref="P22:T22"/>
    <mergeCell ref="Z22:AD22"/>
    <mergeCell ref="G11:I13"/>
    <mergeCell ref="Q11:S13"/>
    <mergeCell ref="AA11:AC13"/>
    <mergeCell ref="G16:I18"/>
    <mergeCell ref="Q16:S18"/>
    <mergeCell ref="AA16:AC18"/>
    <mergeCell ref="AF2:AG3"/>
    <mergeCell ref="F4:J4"/>
    <mergeCell ref="P4:T4"/>
    <mergeCell ref="Z4:AD4"/>
    <mergeCell ref="G6:I8"/>
    <mergeCell ref="Q6:S8"/>
    <mergeCell ref="AA6:A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Rolled Throughput Yield (2)</vt:lpstr>
      <vt:lpstr>Rolled Throughput Yield (3)</vt:lpstr>
      <vt:lpstr>Rolled Throughput 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rhark</dc:creator>
  <cp:lastModifiedBy>rhark</cp:lastModifiedBy>
  <dcterms:created xsi:type="dcterms:W3CDTF">2021-10-23T16:32:20Z</dcterms:created>
  <dcterms:modified xsi:type="dcterms:W3CDTF">2021-10-24T19:50:47Z</dcterms:modified>
</cp:coreProperties>
</file>