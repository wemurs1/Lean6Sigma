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demy Courses\Excel Templates for Manufacturing Quality Professionals\Course Templates\"/>
    </mc:Choice>
  </mc:AlternateContent>
  <xr:revisionPtr revIDLastSave="0" documentId="8_{89902765-9340-4D08-BDCD-B1D9C1B86806}" xr6:coauthVersionLast="47" xr6:coauthVersionMax="47" xr10:uidLastSave="{00000000-0000-0000-0000-000000000000}"/>
  <bookViews>
    <workbookView xWindow="-120" yWindow="-120" windowWidth="38640" windowHeight="21120" xr2:uid="{E80EDF89-77BE-4696-95BA-241085680C8D}"/>
  </bookViews>
  <sheets>
    <sheet name="GR&amp;R, 10x3x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L21" i="1"/>
  <c r="K21" i="1"/>
  <c r="J21" i="1"/>
  <c r="I21" i="1"/>
  <c r="H21" i="1"/>
  <c r="G21" i="1"/>
  <c r="F21" i="1"/>
  <c r="E21" i="1"/>
  <c r="D21" i="1"/>
  <c r="M19" i="1"/>
  <c r="L19" i="1"/>
  <c r="K19" i="1"/>
  <c r="J19" i="1"/>
  <c r="I19" i="1"/>
  <c r="H19" i="1"/>
  <c r="G19" i="1"/>
  <c r="F19" i="1"/>
  <c r="E19" i="1"/>
  <c r="D19" i="1"/>
  <c r="M18" i="1"/>
  <c r="L18" i="1"/>
  <c r="K18" i="1"/>
  <c r="J18" i="1"/>
  <c r="I18" i="1"/>
  <c r="H18" i="1"/>
  <c r="G18" i="1"/>
  <c r="F18" i="1"/>
  <c r="E18" i="1"/>
  <c r="D18" i="1"/>
  <c r="P17" i="1"/>
  <c r="P16" i="1"/>
  <c r="P15" i="1"/>
  <c r="M13" i="1"/>
  <c r="L13" i="1"/>
  <c r="K13" i="1"/>
  <c r="J13" i="1"/>
  <c r="I13" i="1"/>
  <c r="H13" i="1"/>
  <c r="G13" i="1"/>
  <c r="F13" i="1"/>
  <c r="E13" i="1"/>
  <c r="D13" i="1"/>
  <c r="P13" i="1" s="1"/>
  <c r="M12" i="1"/>
  <c r="L12" i="1"/>
  <c r="K12" i="1"/>
  <c r="J12" i="1"/>
  <c r="I12" i="1"/>
  <c r="H12" i="1"/>
  <c r="G12" i="1"/>
  <c r="F12" i="1"/>
  <c r="E12" i="1"/>
  <c r="D12" i="1"/>
  <c r="P11" i="1"/>
  <c r="P10" i="1"/>
  <c r="P9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P5" i="1"/>
  <c r="P4" i="1"/>
  <c r="P3" i="1"/>
  <c r="P6" i="1" l="1"/>
  <c r="P7" i="1"/>
  <c r="P12" i="1"/>
  <c r="P19" i="1"/>
  <c r="P18" i="1"/>
  <c r="H24" i="1" s="1"/>
  <c r="P21" i="1"/>
  <c r="P22" i="1"/>
  <c r="D25" i="1" s="1"/>
  <c r="H28" i="1" s="1"/>
  <c r="L31" i="1"/>
  <c r="L32" i="1" s="1"/>
  <c r="L24" i="1" l="1"/>
  <c r="L37" i="1" l="1"/>
  <c r="L28" i="1"/>
  <c r="L35" i="1"/>
  <c r="H29" i="1" l="1"/>
  <c r="L33" i="1"/>
  <c r="D26" i="1"/>
  <c r="L25" i="1"/>
  <c r="M37" i="1" s="1"/>
</calcChain>
</file>

<file path=xl/sharedStrings.xml><?xml version="1.0" encoding="utf-8"?>
<sst xmlns="http://schemas.openxmlformats.org/spreadsheetml/2006/main" count="33" uniqueCount="29">
  <si>
    <t>Sample No.</t>
  </si>
  <si>
    <t>Trials</t>
  </si>
  <si>
    <t>Appraiser A</t>
  </si>
  <si>
    <t>Averages</t>
  </si>
  <si>
    <t>Ranges</t>
  </si>
  <si>
    <t>Appraiser B</t>
  </si>
  <si>
    <t>Appraiser C</t>
  </si>
  <si>
    <t>Part Average</t>
  </si>
  <si>
    <t>(10x3x3) K1 =</t>
  </si>
  <si>
    <r>
      <t xml:space="preserve">Operator Range, 
Range of </t>
    </r>
    <r>
      <rPr>
        <b/>
        <sz val="16"/>
        <color theme="1"/>
        <rFont val="Arial Unicode"/>
      </rPr>
      <t>x</t>
    </r>
    <r>
      <rPr>
        <b/>
        <sz val="16"/>
        <color theme="1"/>
        <rFont val="Calibri"/>
        <family val="2"/>
      </rPr>
      <t>̅</t>
    </r>
    <r>
      <rPr>
        <b/>
        <vertAlign val="subscript"/>
        <sz val="16"/>
        <color theme="1"/>
        <rFont val="Calibri"/>
        <family val="2"/>
      </rPr>
      <t>ABC</t>
    </r>
    <r>
      <rPr>
        <b/>
        <sz val="16"/>
        <color theme="1"/>
        <rFont val="Calibri"/>
        <family val="2"/>
        <scheme val="minor"/>
      </rPr>
      <t xml:space="preserve"> =</t>
    </r>
  </si>
  <si>
    <t>Combined R&amp;R =</t>
  </si>
  <si>
    <t>Repeatability, EV =</t>
  </si>
  <si>
    <t>(10x3x3) K2 =</t>
  </si>
  <si>
    <t>R&amp;R as a % of TV =</t>
  </si>
  <si>
    <t>EV as a % of
 TV =</t>
  </si>
  <si>
    <t>Number of parts, n =</t>
  </si>
  <si>
    <t xml:space="preserve">Number of appraisers, r = </t>
  </si>
  <si>
    <t>Total Tolerance Range =</t>
  </si>
  <si>
    <t>Reproducability, AV =</t>
  </si>
  <si>
    <t>R&amp;R as a % of Part Tolerance =</t>
  </si>
  <si>
    <t>Also known as "Precision-to-Tolerance", or P/T ratio.</t>
  </si>
  <si>
    <t>AV as a % of 
TV =</t>
  </si>
  <si>
    <t>(10x3x3) K3 =</t>
  </si>
  <si>
    <r>
      <t>R</t>
    </r>
    <r>
      <rPr>
        <b/>
        <vertAlign val="subscript"/>
        <sz val="20"/>
        <color theme="1"/>
        <rFont val="Calibri"/>
        <family val="2"/>
        <scheme val="minor"/>
      </rPr>
      <t>PartAverages</t>
    </r>
    <r>
      <rPr>
        <b/>
        <sz val="20"/>
        <color theme="1"/>
        <rFont val="Calibri"/>
        <family val="2"/>
        <scheme val="minor"/>
      </rPr>
      <t xml:space="preserve"> =</t>
    </r>
  </si>
  <si>
    <t>Part Variation, 
PV =</t>
  </si>
  <si>
    <t>PV as a % of TV =</t>
  </si>
  <si>
    <t>Number of Distinct Categories (NDC)</t>
  </si>
  <si>
    <t>Sanity Check</t>
  </si>
  <si>
    <t>Total Variation, 
TV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</si>
</sst>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%"/>
    <numFmt numFmtId="166" formatCode="0.000"/>
    <numFmt numFmtId="167" formatCode="0.000%"/>
    <numFmt numFmtId="168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 Unicode"/>
    </font>
    <font>
      <b/>
      <sz val="16"/>
      <color theme="1"/>
      <name val="Calibri"/>
      <family val="2"/>
    </font>
    <font>
      <b/>
      <vertAlign val="subscript"/>
      <sz val="16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vertAlign val="subscript"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90" wrapText="1"/>
    </xf>
    <xf numFmtId="164" fontId="0" fillId="2" borderId="14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textRotation="90" wrapText="1"/>
    </xf>
    <xf numFmtId="0" fontId="4" fillId="0" borderId="22" xfId="0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24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wrapText="1"/>
    </xf>
    <xf numFmtId="164" fontId="0" fillId="2" borderId="25" xfId="0" applyNumberForma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164" fontId="0" fillId="2" borderId="27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textRotation="90" wrapText="1"/>
    </xf>
    <xf numFmtId="2" fontId="0" fillId="0" borderId="0" xfId="0" applyNumberFormat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64" fontId="0" fillId="0" borderId="3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7" fillId="0" borderId="25" xfId="0" applyFont="1" applyBorder="1" applyAlignment="1">
      <alignment horizontal="right" vertical="center" wrapText="1"/>
    </xf>
    <xf numFmtId="0" fontId="7" fillId="0" borderId="26" xfId="0" applyFont="1" applyBorder="1" applyAlignment="1">
      <alignment horizontal="right" vertical="center" wrapText="1"/>
    </xf>
    <xf numFmtId="164" fontId="8" fillId="0" borderId="2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164" fontId="8" fillId="0" borderId="3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right" vertical="center" wrapText="1"/>
    </xf>
    <xf numFmtId="164" fontId="8" fillId="0" borderId="1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right" vertical="center" wrapText="1"/>
    </xf>
    <xf numFmtId="0" fontId="7" fillId="0" borderId="36" xfId="0" applyFont="1" applyBorder="1" applyAlignment="1">
      <alignment horizontal="right" vertical="center" wrapText="1"/>
    </xf>
    <xf numFmtId="165" fontId="8" fillId="3" borderId="37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165" fontId="0" fillId="0" borderId="20" xfId="1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3" fillId="0" borderId="0" xfId="0" applyFont="1"/>
    <xf numFmtId="0" fontId="7" fillId="0" borderId="0" xfId="0" applyFont="1" applyAlignment="1">
      <alignment horizontal="right" vertical="center" wrapText="1"/>
    </xf>
    <xf numFmtId="165" fontId="8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166" fontId="8" fillId="0" borderId="35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167" fontId="8" fillId="0" borderId="20" xfId="1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4" fillId="0" borderId="41" xfId="0" applyFont="1" applyBorder="1" applyAlignment="1">
      <alignment horizontal="right" vertical="center" wrapText="1"/>
    </xf>
    <xf numFmtId="0" fontId="14" fillId="0" borderId="40" xfId="0" applyFont="1" applyBorder="1" applyAlignment="1">
      <alignment horizontal="right" vertical="center" wrapText="1"/>
    </xf>
    <xf numFmtId="164" fontId="8" fillId="0" borderId="42" xfId="0" applyNumberFormat="1" applyFont="1" applyBorder="1" applyAlignment="1">
      <alignment horizontal="center" vertical="center"/>
    </xf>
    <xf numFmtId="164" fontId="8" fillId="0" borderId="4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168" fontId="0" fillId="0" borderId="37" xfId="0" applyNumberForma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0" fontId="7" fillId="0" borderId="44" xfId="0" applyFont="1" applyBorder="1" applyAlignment="1">
      <alignment horizontal="right" vertical="center" wrapText="1"/>
    </xf>
    <xf numFmtId="164" fontId="0" fillId="0" borderId="37" xfId="0" applyNumberForma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355487</xdr:colOff>
      <xdr:row>21</xdr:row>
      <xdr:rowOff>117362</xdr:rowOff>
    </xdr:from>
    <xdr:ext cx="189346" cy="27629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3066B76-D7A4-4946-B35E-D62EBEA46639}"/>
                </a:ext>
              </a:extLst>
            </xdr:cNvPr>
            <xdr:cNvSpPr txBox="1"/>
          </xdr:nvSpPr>
          <xdr:spPr>
            <a:xfrm>
              <a:off x="11175887" y="9956687"/>
              <a:ext cx="189346" cy="276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̿"/>
                        <m:ctrlPr>
                          <a:rPr lang="en-US" sz="16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𝑹</m:t>
                        </m:r>
                      </m:e>
                    </m:acc>
                  </m:oMath>
                </m:oMathPara>
              </a14:m>
              <a:endParaRPr lang="en-US" sz="1600" b="1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3066B76-D7A4-4946-B35E-D62EBEA46639}"/>
                </a:ext>
              </a:extLst>
            </xdr:cNvPr>
            <xdr:cNvSpPr txBox="1"/>
          </xdr:nvSpPr>
          <xdr:spPr>
            <a:xfrm>
              <a:off x="11175887" y="9956687"/>
              <a:ext cx="189346" cy="276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latin typeface="Cambria Math" panose="02040503050406030204" pitchFamily="18" charset="0"/>
                </a:rPr>
                <a:t>𝑹 ̿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14</xdr:col>
      <xdr:colOff>212481</xdr:colOff>
      <xdr:row>2</xdr:row>
      <xdr:rowOff>119324</xdr:rowOff>
    </xdr:from>
    <xdr:ext cx="337785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D0E74F-88D8-4285-A783-4296484498C3}"/>
                </a:ext>
              </a:extLst>
            </xdr:cNvPr>
            <xdr:cNvSpPr txBox="1"/>
          </xdr:nvSpPr>
          <xdr:spPr>
            <a:xfrm>
              <a:off x="11032881" y="938474"/>
              <a:ext cx="33778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D0E74F-88D8-4285-A783-4296484498C3}"/>
                </a:ext>
              </a:extLst>
            </xdr:cNvPr>
            <xdr:cNvSpPr txBox="1"/>
          </xdr:nvSpPr>
          <xdr:spPr>
            <a:xfrm>
              <a:off x="11032881" y="938474"/>
              <a:ext cx="33778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̅_𝐴1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168519</xdr:colOff>
      <xdr:row>3</xdr:row>
      <xdr:rowOff>119324</xdr:rowOff>
    </xdr:from>
    <xdr:ext cx="436562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6A08F65-B148-4417-9E2D-B98FC0DD72B5}"/>
                </a:ext>
              </a:extLst>
            </xdr:cNvPr>
            <xdr:cNvSpPr txBox="1"/>
          </xdr:nvSpPr>
          <xdr:spPr>
            <a:xfrm>
              <a:off x="10988919" y="1443299"/>
              <a:ext cx="43656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6A08F65-B148-4417-9E2D-B98FC0DD72B5}"/>
                </a:ext>
              </a:extLst>
            </xdr:cNvPr>
            <xdr:cNvSpPr txBox="1"/>
          </xdr:nvSpPr>
          <xdr:spPr>
            <a:xfrm>
              <a:off x="10988919" y="1443299"/>
              <a:ext cx="43656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̅_𝐴2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227134</xdr:colOff>
      <xdr:row>4</xdr:row>
      <xdr:rowOff>104670</xdr:rowOff>
    </xdr:from>
    <xdr:ext cx="337785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BDA5C3-E44C-4175-AA94-920E00F85F81}"/>
                </a:ext>
              </a:extLst>
            </xdr:cNvPr>
            <xdr:cNvSpPr txBox="1"/>
          </xdr:nvSpPr>
          <xdr:spPr>
            <a:xfrm>
              <a:off x="11047534" y="1933470"/>
              <a:ext cx="33778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BDA5C3-E44C-4175-AA94-920E00F85F81}"/>
                </a:ext>
              </a:extLst>
            </xdr:cNvPr>
            <xdr:cNvSpPr txBox="1"/>
          </xdr:nvSpPr>
          <xdr:spPr>
            <a:xfrm>
              <a:off x="11047534" y="1933470"/>
              <a:ext cx="33778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̅_𝐴3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212696</xdr:colOff>
      <xdr:row>8</xdr:row>
      <xdr:rowOff>138718</xdr:rowOff>
    </xdr:from>
    <xdr:ext cx="350352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9469CFE-8EF5-49FD-AD2E-737AD67E3908}"/>
                </a:ext>
              </a:extLst>
            </xdr:cNvPr>
            <xdr:cNvSpPr txBox="1"/>
          </xdr:nvSpPr>
          <xdr:spPr>
            <a:xfrm>
              <a:off x="11033096" y="3796318"/>
              <a:ext cx="35035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9469CFE-8EF5-49FD-AD2E-737AD67E3908}"/>
                </a:ext>
              </a:extLst>
            </xdr:cNvPr>
            <xdr:cNvSpPr txBox="1"/>
          </xdr:nvSpPr>
          <xdr:spPr>
            <a:xfrm>
              <a:off x="11033096" y="3796318"/>
              <a:ext cx="35035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̅_𝐵1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212696</xdr:colOff>
      <xdr:row>9</xdr:row>
      <xdr:rowOff>129021</xdr:rowOff>
    </xdr:from>
    <xdr:ext cx="350352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EB09EE1-D835-4243-B18C-7060555B8AC7}"/>
                </a:ext>
              </a:extLst>
            </xdr:cNvPr>
            <xdr:cNvSpPr txBox="1"/>
          </xdr:nvSpPr>
          <xdr:spPr>
            <a:xfrm>
              <a:off x="11033096" y="4291446"/>
              <a:ext cx="35035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EB09EE1-D835-4243-B18C-7060555B8AC7}"/>
                </a:ext>
              </a:extLst>
            </xdr:cNvPr>
            <xdr:cNvSpPr txBox="1"/>
          </xdr:nvSpPr>
          <xdr:spPr>
            <a:xfrm>
              <a:off x="11033096" y="4291446"/>
              <a:ext cx="35035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̅_𝐵2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212696</xdr:colOff>
      <xdr:row>10</xdr:row>
      <xdr:rowOff>119324</xdr:rowOff>
    </xdr:from>
    <xdr:ext cx="350352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627116D-A73A-4611-B51D-F5123D073C3A}"/>
                </a:ext>
              </a:extLst>
            </xdr:cNvPr>
            <xdr:cNvSpPr txBox="1"/>
          </xdr:nvSpPr>
          <xdr:spPr>
            <a:xfrm>
              <a:off x="11033096" y="4786574"/>
              <a:ext cx="35035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627116D-A73A-4611-B51D-F5123D073C3A}"/>
                </a:ext>
              </a:extLst>
            </xdr:cNvPr>
            <xdr:cNvSpPr txBox="1"/>
          </xdr:nvSpPr>
          <xdr:spPr>
            <a:xfrm>
              <a:off x="11033096" y="4786574"/>
              <a:ext cx="35035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̅_𝐵3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245830</xdr:colOff>
      <xdr:row>14</xdr:row>
      <xdr:rowOff>116260</xdr:rowOff>
    </xdr:from>
    <xdr:ext cx="339645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6AD8078-2313-4144-8CC2-7EE1BB0BE922}"/>
                </a:ext>
              </a:extLst>
            </xdr:cNvPr>
            <xdr:cNvSpPr txBox="1"/>
          </xdr:nvSpPr>
          <xdr:spPr>
            <a:xfrm>
              <a:off x="11066230" y="6612310"/>
              <a:ext cx="3396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6AD8078-2313-4144-8CC2-7EE1BB0BE922}"/>
                </a:ext>
              </a:extLst>
            </xdr:cNvPr>
            <xdr:cNvSpPr txBox="1"/>
          </xdr:nvSpPr>
          <xdr:spPr>
            <a:xfrm>
              <a:off x="11066230" y="6612310"/>
              <a:ext cx="3396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̅_𝐶1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242607</xdr:colOff>
      <xdr:row>15</xdr:row>
      <xdr:rowOff>56029</xdr:rowOff>
    </xdr:from>
    <xdr:ext cx="339645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C672F88-649B-4653-92EC-0B3F807287B6}"/>
                </a:ext>
              </a:extLst>
            </xdr:cNvPr>
            <xdr:cNvSpPr txBox="1"/>
          </xdr:nvSpPr>
          <xdr:spPr>
            <a:xfrm>
              <a:off x="11063007" y="7056904"/>
              <a:ext cx="3396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C672F88-649B-4653-92EC-0B3F807287B6}"/>
                </a:ext>
              </a:extLst>
            </xdr:cNvPr>
            <xdr:cNvSpPr txBox="1"/>
          </xdr:nvSpPr>
          <xdr:spPr>
            <a:xfrm>
              <a:off x="11063007" y="7056904"/>
              <a:ext cx="3396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̅_𝐶2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259696</xdr:colOff>
      <xdr:row>16</xdr:row>
      <xdr:rowOff>33618</xdr:rowOff>
    </xdr:from>
    <xdr:ext cx="339645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E75F6F-D600-43BB-9087-C706B3DEE737}"/>
                </a:ext>
              </a:extLst>
            </xdr:cNvPr>
            <xdr:cNvSpPr txBox="1"/>
          </xdr:nvSpPr>
          <xdr:spPr>
            <a:xfrm>
              <a:off x="11080096" y="7539318"/>
              <a:ext cx="3396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E75F6F-D600-43BB-9087-C706B3DEE737}"/>
                </a:ext>
              </a:extLst>
            </xdr:cNvPr>
            <xdr:cNvSpPr txBox="1"/>
          </xdr:nvSpPr>
          <xdr:spPr>
            <a:xfrm>
              <a:off x="11080096" y="7539318"/>
              <a:ext cx="3396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̅_𝐶3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271096</xdr:colOff>
      <xdr:row>5</xdr:row>
      <xdr:rowOff>126651</xdr:rowOff>
    </xdr:from>
    <xdr:ext cx="252569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7249403-BA2B-4D94-AD1B-CABD1242A8E5}"/>
                </a:ext>
              </a:extLst>
            </xdr:cNvPr>
            <xdr:cNvSpPr txBox="1"/>
          </xdr:nvSpPr>
          <xdr:spPr>
            <a:xfrm>
              <a:off x="11091496" y="2460276"/>
              <a:ext cx="25256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7249403-BA2B-4D94-AD1B-CABD1242A8E5}"/>
                </a:ext>
              </a:extLst>
            </xdr:cNvPr>
            <xdr:cNvSpPr txBox="1"/>
          </xdr:nvSpPr>
          <xdr:spPr>
            <a:xfrm>
              <a:off x="11091496" y="2460276"/>
              <a:ext cx="25256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̅_𝐴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271096</xdr:colOff>
      <xdr:row>11</xdr:row>
      <xdr:rowOff>111997</xdr:rowOff>
    </xdr:from>
    <xdr:ext cx="267702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56CE0E9-BEE6-4842-8435-50CB9AFC75F5}"/>
                </a:ext>
              </a:extLst>
            </xdr:cNvPr>
            <xdr:cNvSpPr txBox="1"/>
          </xdr:nvSpPr>
          <xdr:spPr>
            <a:xfrm>
              <a:off x="11091496" y="5284072"/>
              <a:ext cx="26770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56CE0E9-BEE6-4842-8435-50CB9AFC75F5}"/>
                </a:ext>
              </a:extLst>
            </xdr:cNvPr>
            <xdr:cNvSpPr txBox="1"/>
          </xdr:nvSpPr>
          <xdr:spPr>
            <a:xfrm>
              <a:off x="11091496" y="5284072"/>
              <a:ext cx="26770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̅_𝐵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300404</xdr:colOff>
      <xdr:row>17</xdr:row>
      <xdr:rowOff>29308</xdr:rowOff>
    </xdr:from>
    <xdr:ext cx="259495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7E47FDF-69C3-439F-8968-6710F84259E7}"/>
                </a:ext>
              </a:extLst>
            </xdr:cNvPr>
            <xdr:cNvSpPr txBox="1"/>
          </xdr:nvSpPr>
          <xdr:spPr>
            <a:xfrm>
              <a:off x="11120804" y="8039833"/>
              <a:ext cx="25949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7E47FDF-69C3-439F-8968-6710F84259E7}"/>
                </a:ext>
              </a:extLst>
            </xdr:cNvPr>
            <xdr:cNvSpPr txBox="1"/>
          </xdr:nvSpPr>
          <xdr:spPr>
            <a:xfrm>
              <a:off x="11120804" y="8039833"/>
              <a:ext cx="25949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 ̅_𝐶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241788</xdr:colOff>
      <xdr:row>6</xdr:row>
      <xdr:rowOff>104669</xdr:rowOff>
    </xdr:from>
    <xdr:ext cx="272574" cy="2546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F19FD7B-6421-4487-943A-A973B5ED7D39}"/>
                </a:ext>
              </a:extLst>
            </xdr:cNvPr>
            <xdr:cNvSpPr txBox="1"/>
          </xdr:nvSpPr>
          <xdr:spPr>
            <a:xfrm>
              <a:off x="11062188" y="2943119"/>
              <a:ext cx="272574" cy="2546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F19FD7B-6421-4487-943A-A973B5ED7D39}"/>
                </a:ext>
              </a:extLst>
            </xdr:cNvPr>
            <xdr:cNvSpPr txBox="1"/>
          </xdr:nvSpPr>
          <xdr:spPr>
            <a:xfrm>
              <a:off x="11062188" y="2943119"/>
              <a:ext cx="272574" cy="2546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𝑅 ̅_𝐴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269630</xdr:colOff>
      <xdr:row>12</xdr:row>
      <xdr:rowOff>132512</xdr:rowOff>
    </xdr:from>
    <xdr:ext cx="287706" cy="2546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4843384-0155-4A45-9228-52AAD99E427F}"/>
                </a:ext>
              </a:extLst>
            </xdr:cNvPr>
            <xdr:cNvSpPr txBox="1"/>
          </xdr:nvSpPr>
          <xdr:spPr>
            <a:xfrm>
              <a:off x="11090030" y="5809412"/>
              <a:ext cx="287706" cy="2546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4843384-0155-4A45-9228-52AAD99E427F}"/>
                </a:ext>
              </a:extLst>
            </xdr:cNvPr>
            <xdr:cNvSpPr txBox="1"/>
          </xdr:nvSpPr>
          <xdr:spPr>
            <a:xfrm>
              <a:off x="11090030" y="5809412"/>
              <a:ext cx="287706" cy="2546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𝑅 ̅_𝐵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290145</xdr:colOff>
      <xdr:row>18</xdr:row>
      <xdr:rowOff>70338</xdr:rowOff>
    </xdr:from>
    <xdr:ext cx="279499" cy="2546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C995C03-F5EA-4F20-B825-3A2BF3C610C9}"/>
                </a:ext>
              </a:extLst>
            </xdr:cNvPr>
            <xdr:cNvSpPr txBox="1"/>
          </xdr:nvSpPr>
          <xdr:spPr>
            <a:xfrm>
              <a:off x="11110545" y="8585688"/>
              <a:ext cx="279499" cy="2546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C995C03-F5EA-4F20-B825-3A2BF3C610C9}"/>
                </a:ext>
              </a:extLst>
            </xdr:cNvPr>
            <xdr:cNvSpPr txBox="1"/>
          </xdr:nvSpPr>
          <xdr:spPr>
            <a:xfrm>
              <a:off x="11110545" y="8585688"/>
              <a:ext cx="279499" cy="2546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𝑅 ̅_𝐶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14</xdr:col>
      <xdr:colOff>283369</xdr:colOff>
      <xdr:row>20</xdr:row>
      <xdr:rowOff>133350</xdr:rowOff>
    </xdr:from>
    <xdr:ext cx="318549" cy="2500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BA35D71-5914-4EE9-A245-9EB9CDB42AB6}"/>
                </a:ext>
              </a:extLst>
            </xdr:cNvPr>
            <xdr:cNvSpPr txBox="1"/>
          </xdr:nvSpPr>
          <xdr:spPr>
            <a:xfrm>
              <a:off x="11103769" y="9467850"/>
              <a:ext cx="318549" cy="2500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</m:acc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BA35D71-5914-4EE9-A245-9EB9CDB42AB6}"/>
                </a:ext>
              </a:extLst>
            </xdr:cNvPr>
            <xdr:cNvSpPr txBox="1"/>
          </xdr:nvSpPr>
          <xdr:spPr>
            <a:xfrm>
              <a:off x="11103769" y="9467850"/>
              <a:ext cx="318549" cy="2500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𝒙 ̅_𝒑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5</xdr:col>
      <xdr:colOff>614860</xdr:colOff>
      <xdr:row>25</xdr:row>
      <xdr:rowOff>24288</xdr:rowOff>
    </xdr:from>
    <xdr:ext cx="65" cy="313099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801A663-264D-45C9-9006-AED85971346B}"/>
            </a:ext>
          </a:extLst>
        </xdr:cNvPr>
        <xdr:cNvSpPr txBox="1"/>
      </xdr:nvSpPr>
      <xdr:spPr>
        <a:xfrm>
          <a:off x="4377235" y="11759088"/>
          <a:ext cx="65" cy="3130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167185</xdr:colOff>
      <xdr:row>24</xdr:row>
      <xdr:rowOff>357663</xdr:rowOff>
    </xdr:from>
    <xdr:ext cx="65" cy="313099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822BF90-1ECE-4A38-9F58-914BD76EAF0C}"/>
            </a:ext>
          </a:extLst>
        </xdr:cNvPr>
        <xdr:cNvSpPr txBox="1"/>
      </xdr:nvSpPr>
      <xdr:spPr>
        <a:xfrm>
          <a:off x="4777285" y="11397138"/>
          <a:ext cx="65" cy="3130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2000"/>
        </a:p>
      </xdr:txBody>
    </xdr:sp>
    <xdr:clientData/>
  </xdr:oneCellAnchor>
  <xdr:twoCellAnchor>
    <xdr:from>
      <xdr:col>12</xdr:col>
      <xdr:colOff>27214</xdr:colOff>
      <xdr:row>26</xdr:row>
      <xdr:rowOff>95251</xdr:rowOff>
    </xdr:from>
    <xdr:to>
      <xdr:col>14</xdr:col>
      <xdr:colOff>0</xdr:colOff>
      <xdr:row>26</xdr:row>
      <xdr:rowOff>625929</xdr:rowOff>
    </xdr:to>
    <xdr:sp macro="" textlink="">
      <xdr:nvSpPr>
        <xdr:cNvPr id="21" name="Arrow: Left 20">
          <a:extLst>
            <a:ext uri="{FF2B5EF4-FFF2-40B4-BE49-F238E27FC236}">
              <a16:creationId xmlns:a16="http://schemas.microsoft.com/office/drawing/2014/main" id="{48B84377-4F38-4DB8-BA25-4848B00ED603}"/>
            </a:ext>
          </a:extLst>
        </xdr:cNvPr>
        <xdr:cNvSpPr/>
      </xdr:nvSpPr>
      <xdr:spPr>
        <a:xfrm>
          <a:off x="9723664" y="13220701"/>
          <a:ext cx="1096736" cy="53067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12</xdr:col>
      <xdr:colOff>454259</xdr:colOff>
      <xdr:row>27</xdr:row>
      <xdr:rowOff>295753</xdr:rowOff>
    </xdr:from>
    <xdr:to>
      <xdr:col>17</xdr:col>
      <xdr:colOff>40821</xdr:colOff>
      <xdr:row>29</xdr:row>
      <xdr:rowOff>217715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C42E3C8-179D-4D32-B74F-9A2D6FAA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1545" y="14079789"/>
          <a:ext cx="3233276" cy="1309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64B3-C654-497E-BAD4-3BDC02B327A1}">
  <dimension ref="B1:U144"/>
  <sheetViews>
    <sheetView tabSelected="1" zoomScale="70" zoomScaleNormal="70" workbookViewId="0">
      <selection activeCell="T6" sqref="T6"/>
    </sheetView>
  </sheetViews>
  <sheetFormatPr defaultRowHeight="15"/>
  <cols>
    <col min="1" max="1" width="3.85546875" style="1" customWidth="1"/>
    <col min="2" max="2" width="9.140625" style="1"/>
    <col min="3" max="13" width="12.7109375" style="1" customWidth="1"/>
    <col min="14" max="14" width="4.140625" style="1" customWidth="1"/>
    <col min="15" max="22" width="12.7109375" style="1" customWidth="1"/>
    <col min="23" max="16384" width="9.140625" style="1"/>
  </cols>
  <sheetData>
    <row r="1" spans="2:16" ht="24.95" customHeight="1" thickBot="1"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</row>
    <row r="2" spans="2:16" ht="39.950000000000003" customHeight="1" thickBot="1">
      <c r="C2" s="4" t="s">
        <v>1</v>
      </c>
      <c r="D2" s="5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7">
        <v>10</v>
      </c>
      <c r="N2" s="8"/>
      <c r="P2" s="3"/>
    </row>
    <row r="3" spans="2:16" ht="39.950000000000003" customHeight="1">
      <c r="B3" s="9" t="s">
        <v>2</v>
      </c>
      <c r="C3" s="10">
        <v>1</v>
      </c>
      <c r="D3" s="11">
        <v>3.63957</v>
      </c>
      <c r="E3" s="12">
        <v>3.9354800000000001</v>
      </c>
      <c r="F3" s="12">
        <v>3.8445499999999999</v>
      </c>
      <c r="G3" s="12">
        <v>4.1650999999999998</v>
      </c>
      <c r="H3" s="12">
        <v>4.28118</v>
      </c>
      <c r="I3" s="12">
        <v>3.4333300000000002</v>
      </c>
      <c r="J3" s="12">
        <v>3.8044199999999999</v>
      </c>
      <c r="K3" s="12">
        <v>3.3930660000000001</v>
      </c>
      <c r="L3" s="12">
        <v>4.1455399999999996</v>
      </c>
      <c r="M3" s="13">
        <v>4.2278399999999996</v>
      </c>
      <c r="N3" s="14"/>
      <c r="O3" s="15"/>
      <c r="P3" s="16">
        <f>AVERAGE(D3:M3)</f>
        <v>3.8870075999999996</v>
      </c>
    </row>
    <row r="4" spans="2:16" ht="39.950000000000003" customHeight="1">
      <c r="B4" s="17"/>
      <c r="C4" s="10">
        <v>2</v>
      </c>
      <c r="D4" s="18">
        <v>3.57531</v>
      </c>
      <c r="E4" s="19">
        <v>3.9301499999999998</v>
      </c>
      <c r="F4" s="19">
        <v>3.88489</v>
      </c>
      <c r="G4" s="19">
        <v>4.2124540000000001</v>
      </c>
      <c r="H4" s="19">
        <v>4.3088600000000001</v>
      </c>
      <c r="I4" s="19">
        <v>3.4455200000000001</v>
      </c>
      <c r="J4" s="19">
        <v>3.8448099999999998</v>
      </c>
      <c r="K4" s="19">
        <v>3.9060199999999998</v>
      </c>
      <c r="L4" s="19">
        <v>4.1531599999999997</v>
      </c>
      <c r="M4" s="20">
        <v>4.2184400000000002</v>
      </c>
      <c r="N4" s="14"/>
      <c r="O4" s="21"/>
      <c r="P4" s="22">
        <f>AVERAGE(D4:M4)</f>
        <v>3.9479613999999996</v>
      </c>
    </row>
    <row r="5" spans="2:16" ht="39.950000000000003" customHeight="1" thickBot="1">
      <c r="B5" s="17"/>
      <c r="C5" s="10">
        <v>3</v>
      </c>
      <c r="D5" s="23">
        <v>3.61748</v>
      </c>
      <c r="E5" s="24">
        <v>3.8991600000000002</v>
      </c>
      <c r="F5" s="24">
        <v>3.7932399999999999</v>
      </c>
      <c r="G5" s="24">
        <v>4.1831399999999999</v>
      </c>
      <c r="H5" s="24">
        <v>4.2524800000000003</v>
      </c>
      <c r="I5" s="24">
        <v>3.3677899999999998</v>
      </c>
      <c r="J5" s="24">
        <v>3.78816</v>
      </c>
      <c r="K5" s="24">
        <v>3.8978899999999999</v>
      </c>
      <c r="L5" s="24">
        <v>4.1983699999999997</v>
      </c>
      <c r="M5" s="25">
        <v>4.2471399999999999</v>
      </c>
      <c r="N5" s="14"/>
      <c r="O5" s="21"/>
      <c r="P5" s="22">
        <f>AVERAGE(D5:M5)</f>
        <v>3.9244849999999998</v>
      </c>
    </row>
    <row r="6" spans="2:16" ht="39.950000000000003" customHeight="1">
      <c r="B6" s="17"/>
      <c r="C6" s="26" t="s">
        <v>3</v>
      </c>
      <c r="D6" s="27">
        <f>AVERAGE(D3:D5)</f>
        <v>3.6107866666666664</v>
      </c>
      <c r="E6" s="28">
        <f t="shared" ref="E6:M6" si="0">AVERAGE(E3:E5)</f>
        <v>3.9215966666666664</v>
      </c>
      <c r="F6" s="28">
        <f t="shared" si="0"/>
        <v>3.8408933333333337</v>
      </c>
      <c r="G6" s="28">
        <f t="shared" si="0"/>
        <v>4.1868980000000002</v>
      </c>
      <c r="H6" s="28">
        <f t="shared" si="0"/>
        <v>4.2808400000000004</v>
      </c>
      <c r="I6" s="28">
        <f t="shared" si="0"/>
        <v>3.4155466666666663</v>
      </c>
      <c r="J6" s="28">
        <f t="shared" si="0"/>
        <v>3.8124633333333331</v>
      </c>
      <c r="K6" s="28">
        <f t="shared" si="0"/>
        <v>3.7323253333333333</v>
      </c>
      <c r="L6" s="28">
        <f t="shared" si="0"/>
        <v>4.1656900000000006</v>
      </c>
      <c r="M6" s="29">
        <f t="shared" si="0"/>
        <v>4.2311399999999999</v>
      </c>
      <c r="N6" s="14"/>
      <c r="O6" s="21"/>
      <c r="P6" s="22">
        <f>AVERAGE(P3:P5)</f>
        <v>3.9198179999999994</v>
      </c>
    </row>
    <row r="7" spans="2:16" ht="39.950000000000003" customHeight="1" thickBot="1">
      <c r="B7" s="30"/>
      <c r="C7" s="31" t="s">
        <v>4</v>
      </c>
      <c r="D7" s="32">
        <f>MAX(D3:D5)-MIN(D3:D5)</f>
        <v>6.4259999999999984E-2</v>
      </c>
      <c r="E7" s="33">
        <f t="shared" ref="E7:M7" si="1">MAX(E3:E5)-MIN(E3:E5)</f>
        <v>3.6319999999999908E-2</v>
      </c>
      <c r="F7" s="33">
        <f t="shared" si="1"/>
        <v>9.1650000000000009E-2</v>
      </c>
      <c r="G7" s="33">
        <f t="shared" si="1"/>
        <v>4.735400000000034E-2</v>
      </c>
      <c r="H7" s="33">
        <f t="shared" si="1"/>
        <v>5.6379999999999875E-2</v>
      </c>
      <c r="I7" s="33">
        <f t="shared" si="1"/>
        <v>7.7730000000000299E-2</v>
      </c>
      <c r="J7" s="33">
        <f t="shared" si="1"/>
        <v>5.6649999999999867E-2</v>
      </c>
      <c r="K7" s="33">
        <f t="shared" si="1"/>
        <v>0.51295399999999969</v>
      </c>
      <c r="L7" s="33">
        <f t="shared" si="1"/>
        <v>5.2830000000000155E-2</v>
      </c>
      <c r="M7" s="34">
        <f t="shared" si="1"/>
        <v>2.8699999999999726E-2</v>
      </c>
      <c r="N7" s="14"/>
      <c r="O7" s="35"/>
      <c r="P7" s="36">
        <f>AVERAGE(D7:M7)</f>
        <v>0.10248279999999999</v>
      </c>
    </row>
    <row r="8" spans="2:16" ht="24.95" customHeight="1" thickBot="1">
      <c r="B8" s="37"/>
      <c r="O8" s="38"/>
      <c r="P8" s="38"/>
    </row>
    <row r="9" spans="2:16" ht="39.950000000000003" customHeight="1">
      <c r="B9" s="39" t="s">
        <v>5</v>
      </c>
      <c r="C9" s="40">
        <v>1</v>
      </c>
      <c r="D9" s="41">
        <v>3.58826</v>
      </c>
      <c r="E9" s="42">
        <v>3.9184700000000001</v>
      </c>
      <c r="F9" s="42">
        <v>3.85039</v>
      </c>
      <c r="G9" s="42">
        <v>4.1615399999999996</v>
      </c>
      <c r="H9" s="42">
        <v>4.22682</v>
      </c>
      <c r="I9" s="42">
        <v>3.40564</v>
      </c>
      <c r="J9" s="42">
        <v>3.8656299999999999</v>
      </c>
      <c r="K9" s="42">
        <v>3.8656299999999999</v>
      </c>
      <c r="L9" s="42">
        <v>4.1473199999999997</v>
      </c>
      <c r="M9" s="43">
        <v>4.2207299999999996</v>
      </c>
      <c r="N9" s="44"/>
      <c r="O9" s="45"/>
      <c r="P9" s="16">
        <f>AVERAGE(D9:M9)</f>
        <v>3.9250429999999996</v>
      </c>
    </row>
    <row r="10" spans="2:16" ht="39.950000000000003" customHeight="1">
      <c r="B10" s="46"/>
      <c r="C10" s="10">
        <v>2</v>
      </c>
      <c r="D10" s="18">
        <v>3.6286499999999999</v>
      </c>
      <c r="E10" s="19">
        <v>3.9065300000000001</v>
      </c>
      <c r="F10" s="19">
        <v>3.8488699999999998</v>
      </c>
      <c r="G10" s="19">
        <v>4.2082800000000002</v>
      </c>
      <c r="H10" s="19">
        <v>4.2344400000000002</v>
      </c>
      <c r="I10" s="19">
        <v>3.39446</v>
      </c>
      <c r="J10" s="19">
        <v>3.8491200000000001</v>
      </c>
      <c r="K10" s="19">
        <v>3.8491200000000001</v>
      </c>
      <c r="L10" s="19">
        <v>4.0980400000000001</v>
      </c>
      <c r="M10" s="20">
        <v>4.2187000000000001</v>
      </c>
      <c r="N10" s="44"/>
      <c r="O10" s="47"/>
      <c r="P10" s="22">
        <f>AVERAGE(D10:M10)</f>
        <v>3.9236209999999994</v>
      </c>
    </row>
    <row r="11" spans="2:16" ht="39.950000000000003" customHeight="1" thickBot="1">
      <c r="B11" s="46"/>
      <c r="C11" s="48">
        <v>3</v>
      </c>
      <c r="D11" s="23">
        <v>3.6309399999999998</v>
      </c>
      <c r="E11" s="24">
        <v>3.9451399999999999</v>
      </c>
      <c r="F11" s="24">
        <v>3.8509000000000002</v>
      </c>
      <c r="G11" s="24">
        <v>4.2349500000000004</v>
      </c>
      <c r="H11" s="24">
        <v>4.2778799999999997</v>
      </c>
      <c r="I11" s="24">
        <v>3.3959899999999998</v>
      </c>
      <c r="J11" s="24">
        <v>3.8750300000000002</v>
      </c>
      <c r="K11" s="24">
        <v>3.8750300000000002</v>
      </c>
      <c r="L11" s="24">
        <v>4.1237000000000004</v>
      </c>
      <c r="M11" s="25">
        <v>4.2131100000000004</v>
      </c>
      <c r="N11" s="44"/>
      <c r="O11" s="47"/>
      <c r="P11" s="22">
        <f>AVERAGE(D11:M11)</f>
        <v>3.9422670000000002</v>
      </c>
    </row>
    <row r="12" spans="2:16" ht="39.950000000000003" customHeight="1">
      <c r="B12" s="46"/>
      <c r="C12" s="26" t="s">
        <v>3</v>
      </c>
      <c r="D12" s="27">
        <f>AVERAGE(D9:D11)</f>
        <v>3.6159500000000002</v>
      </c>
      <c r="E12" s="28">
        <f t="shared" ref="E12:M12" si="2">AVERAGE(E9:E11)</f>
        <v>3.9233799999999999</v>
      </c>
      <c r="F12" s="28">
        <f t="shared" si="2"/>
        <v>3.8500533333333333</v>
      </c>
      <c r="G12" s="28">
        <f t="shared" si="2"/>
        <v>4.2015900000000004</v>
      </c>
      <c r="H12" s="28">
        <f t="shared" si="2"/>
        <v>4.2463799999999994</v>
      </c>
      <c r="I12" s="28">
        <f t="shared" si="2"/>
        <v>3.3986966666666665</v>
      </c>
      <c r="J12" s="28">
        <f t="shared" si="2"/>
        <v>3.8632600000000004</v>
      </c>
      <c r="K12" s="28">
        <f t="shared" si="2"/>
        <v>3.8632600000000004</v>
      </c>
      <c r="L12" s="28">
        <f t="shared" si="2"/>
        <v>4.1230200000000004</v>
      </c>
      <c r="M12" s="29">
        <f t="shared" si="2"/>
        <v>4.2175133333333337</v>
      </c>
      <c r="N12" s="14"/>
      <c r="O12" s="21"/>
      <c r="P12" s="22">
        <f>AVERAGE(D12:M12)</f>
        <v>3.9303103333333334</v>
      </c>
    </row>
    <row r="13" spans="2:16" ht="39.950000000000003" customHeight="1" thickBot="1">
      <c r="B13" s="49"/>
      <c r="C13" s="31" t="s">
        <v>4</v>
      </c>
      <c r="D13" s="32">
        <f>MAX(D9:D11)-MIN(D9:D11)</f>
        <v>4.2679999999999829E-2</v>
      </c>
      <c r="E13" s="33">
        <f t="shared" ref="E13:M13" si="3">MAX(E9:E11)-MIN(E9:E11)</f>
        <v>3.8609999999999811E-2</v>
      </c>
      <c r="F13" s="33">
        <f t="shared" si="3"/>
        <v>2.0300000000004204E-3</v>
      </c>
      <c r="G13" s="33">
        <f t="shared" si="3"/>
        <v>7.3410000000000863E-2</v>
      </c>
      <c r="H13" s="33">
        <f t="shared" si="3"/>
        <v>5.1059999999999661E-2</v>
      </c>
      <c r="I13" s="33">
        <f t="shared" si="3"/>
        <v>1.1179999999999968E-2</v>
      </c>
      <c r="J13" s="33">
        <f t="shared" si="3"/>
        <v>2.59100000000001E-2</v>
      </c>
      <c r="K13" s="33">
        <f t="shared" si="3"/>
        <v>2.59100000000001E-2</v>
      </c>
      <c r="L13" s="33">
        <f t="shared" si="3"/>
        <v>4.9279999999999546E-2</v>
      </c>
      <c r="M13" s="34">
        <f t="shared" si="3"/>
        <v>7.619999999999294E-3</v>
      </c>
      <c r="N13" s="14"/>
      <c r="O13" s="35"/>
      <c r="P13" s="36">
        <f>AVERAGE(D13:M13)</f>
        <v>3.2768999999999958E-2</v>
      </c>
    </row>
    <row r="14" spans="2:16" ht="24.95" customHeight="1" thickBot="1">
      <c r="B14" s="37"/>
      <c r="O14" s="38"/>
      <c r="P14" s="38"/>
    </row>
    <row r="15" spans="2:16" ht="39.950000000000003" customHeight="1">
      <c r="B15" s="39" t="s">
        <v>6</v>
      </c>
      <c r="C15" s="40">
        <v>1</v>
      </c>
      <c r="D15" s="41">
        <v>3.57734</v>
      </c>
      <c r="E15" s="42">
        <v>3.8808699999999998</v>
      </c>
      <c r="F15" s="42">
        <v>3.8529300000000002</v>
      </c>
      <c r="G15" s="42">
        <v>4.1767799999999999</v>
      </c>
      <c r="H15" s="42">
        <v>4.2646699999999997</v>
      </c>
      <c r="I15" s="42">
        <v>3.43282</v>
      </c>
      <c r="J15" s="42">
        <v>3.85141</v>
      </c>
      <c r="K15" s="42">
        <v>3.85141</v>
      </c>
      <c r="L15" s="42">
        <v>4.14072</v>
      </c>
      <c r="M15" s="43">
        <v>4.2235199999999997</v>
      </c>
      <c r="N15" s="14"/>
      <c r="O15" s="15"/>
      <c r="P15" s="16">
        <f>AVERAGE(D15:M15)</f>
        <v>3.9252470000000002</v>
      </c>
    </row>
    <row r="16" spans="2:16" ht="39.950000000000003" customHeight="1">
      <c r="B16" s="46"/>
      <c r="C16" s="10">
        <v>2</v>
      </c>
      <c r="D16" s="18">
        <v>3.5826799999999999</v>
      </c>
      <c r="E16" s="19">
        <v>3.8717299999999999</v>
      </c>
      <c r="F16" s="19">
        <v>3.7805399999999998</v>
      </c>
      <c r="G16" s="19">
        <v>4.1612900000000002</v>
      </c>
      <c r="H16" s="19">
        <v>4.2387600000000001</v>
      </c>
      <c r="I16" s="19">
        <v>3.3797299999999999</v>
      </c>
      <c r="J16" s="19">
        <v>3.8856999999999999</v>
      </c>
      <c r="K16" s="19">
        <v>3.8856999999999999</v>
      </c>
      <c r="L16" s="19">
        <v>4.1518899999999999</v>
      </c>
      <c r="M16" s="20">
        <v>4.2113300000000002</v>
      </c>
      <c r="N16" s="14"/>
      <c r="O16" s="21"/>
      <c r="P16" s="22">
        <f>AVERAGE(D16:M16)</f>
        <v>3.9149349999999998</v>
      </c>
    </row>
    <row r="17" spans="2:21" ht="39.950000000000003" customHeight="1" thickBot="1">
      <c r="B17" s="46"/>
      <c r="C17" s="48">
        <v>3</v>
      </c>
      <c r="D17" s="23">
        <v>3.6286499999999999</v>
      </c>
      <c r="E17" s="24">
        <v>3.87351</v>
      </c>
      <c r="F17" s="24">
        <v>3.7968000000000002</v>
      </c>
      <c r="G17" s="24">
        <v>4.1745000000000001</v>
      </c>
      <c r="H17" s="24">
        <v>4.1988799999999999</v>
      </c>
      <c r="I17" s="24">
        <v>3.3997999999999999</v>
      </c>
      <c r="J17" s="24">
        <v>3.8521700000000001</v>
      </c>
      <c r="K17" s="24">
        <v>3.8521700000000001</v>
      </c>
      <c r="L17" s="24">
        <v>4.1252199999999997</v>
      </c>
      <c r="M17" s="25">
        <v>4.2245400000000002</v>
      </c>
      <c r="N17" s="14"/>
      <c r="O17" s="21"/>
      <c r="P17" s="22">
        <f>AVERAGE(D17:M17)</f>
        <v>3.9126240000000001</v>
      </c>
    </row>
    <row r="18" spans="2:21" ht="39.950000000000003" customHeight="1">
      <c r="B18" s="46"/>
      <c r="C18" s="26" t="s">
        <v>3</v>
      </c>
      <c r="D18" s="27">
        <f>AVERAGE(D15:D17)</f>
        <v>3.5962233333333331</v>
      </c>
      <c r="E18" s="28">
        <f t="shared" ref="E18:M18" si="4">AVERAGE(E15:E17)</f>
        <v>3.8753699999999998</v>
      </c>
      <c r="F18" s="28">
        <f t="shared" si="4"/>
        <v>3.8100900000000002</v>
      </c>
      <c r="G18" s="28">
        <f t="shared" si="4"/>
        <v>4.1708566666666664</v>
      </c>
      <c r="H18" s="28">
        <f t="shared" si="4"/>
        <v>4.2341033333333336</v>
      </c>
      <c r="I18" s="28">
        <f t="shared" si="4"/>
        <v>3.4041166666666669</v>
      </c>
      <c r="J18" s="28">
        <f t="shared" si="4"/>
        <v>3.863093333333333</v>
      </c>
      <c r="K18" s="28">
        <f t="shared" si="4"/>
        <v>3.863093333333333</v>
      </c>
      <c r="L18" s="28">
        <f t="shared" si="4"/>
        <v>4.1392766666666665</v>
      </c>
      <c r="M18" s="29">
        <f t="shared" si="4"/>
        <v>4.2197966666666673</v>
      </c>
      <c r="N18" s="14"/>
      <c r="O18" s="21"/>
      <c r="P18" s="22">
        <f>AVERAGE(D18:M18)</f>
        <v>3.9176019999999996</v>
      </c>
    </row>
    <row r="19" spans="2:21" ht="39.950000000000003" customHeight="1" thickBot="1">
      <c r="B19" s="49"/>
      <c r="C19" s="31" t="s">
        <v>4</v>
      </c>
      <c r="D19" s="32">
        <f>MAX(D15:D17)-MIN(D15:D17)</f>
        <v>5.1309999999999967E-2</v>
      </c>
      <c r="E19" s="33">
        <f t="shared" ref="E19:M19" si="5">MAX(E15:E17)-MIN(E15:E17)</f>
        <v>9.139999999999926E-3</v>
      </c>
      <c r="F19" s="33">
        <f t="shared" si="5"/>
        <v>7.2390000000000398E-2</v>
      </c>
      <c r="G19" s="33">
        <f t="shared" si="5"/>
        <v>1.5489999999999782E-2</v>
      </c>
      <c r="H19" s="33">
        <f t="shared" si="5"/>
        <v>6.5789999999999793E-2</v>
      </c>
      <c r="I19" s="33">
        <f t="shared" si="5"/>
        <v>5.3090000000000082E-2</v>
      </c>
      <c r="J19" s="33">
        <f t="shared" si="5"/>
        <v>3.4289999999999932E-2</v>
      </c>
      <c r="K19" s="33">
        <f t="shared" si="5"/>
        <v>3.4289999999999932E-2</v>
      </c>
      <c r="L19" s="33">
        <f t="shared" si="5"/>
        <v>2.6670000000000194E-2</v>
      </c>
      <c r="M19" s="34">
        <f t="shared" si="5"/>
        <v>1.3209999999999944E-2</v>
      </c>
      <c r="N19" s="14"/>
      <c r="O19" s="35"/>
      <c r="P19" s="36">
        <f>AVERAGE(D19:M19)</f>
        <v>3.7566999999999996E-2</v>
      </c>
    </row>
    <row r="20" spans="2:21" ht="24.95" customHeight="1" thickBot="1">
      <c r="D20" s="50"/>
      <c r="E20" s="50"/>
      <c r="F20" s="50"/>
      <c r="G20" s="50"/>
      <c r="H20" s="50"/>
      <c r="I20" s="50"/>
      <c r="J20" s="50"/>
      <c r="K20" s="50"/>
      <c r="L20" s="50"/>
      <c r="M20" s="50"/>
      <c r="P20" s="38"/>
    </row>
    <row r="21" spans="2:21" ht="39.950000000000003" customHeight="1" thickBot="1">
      <c r="B21" s="51" t="s">
        <v>7</v>
      </c>
      <c r="C21" s="52"/>
      <c r="D21" s="53">
        <f>AVERAGE(D3:D5,D9:D11,D15:D17)</f>
        <v>3.6076533333333334</v>
      </c>
      <c r="E21" s="54">
        <f t="shared" ref="E21:M21" si="6">AVERAGE(E3:E5,E9:E11,E15:E17)</f>
        <v>3.9067822222222222</v>
      </c>
      <c r="F21" s="54">
        <f t="shared" si="6"/>
        <v>3.8336788888888886</v>
      </c>
      <c r="G21" s="54">
        <f t="shared" si="6"/>
        <v>4.1864482222222223</v>
      </c>
      <c r="H21" s="54">
        <f t="shared" si="6"/>
        <v>4.2537744444444447</v>
      </c>
      <c r="I21" s="54">
        <f t="shared" si="6"/>
        <v>3.4061199999999996</v>
      </c>
      <c r="J21" s="54">
        <f t="shared" si="6"/>
        <v>3.8462722222222223</v>
      </c>
      <c r="K21" s="54">
        <f t="shared" si="6"/>
        <v>3.8195595555555553</v>
      </c>
      <c r="L21" s="54">
        <f t="shared" si="6"/>
        <v>4.1426622222222225</v>
      </c>
      <c r="M21" s="55">
        <f t="shared" si="6"/>
        <v>4.2228166666666667</v>
      </c>
      <c r="N21" s="38"/>
      <c r="O21" s="56"/>
      <c r="P21" s="57">
        <f>AVERAGE(D21:M21)</f>
        <v>3.9225767777777776</v>
      </c>
    </row>
    <row r="22" spans="2:21" ht="39.950000000000003" customHeight="1" thickBot="1">
      <c r="B22" s="102"/>
      <c r="C22" s="102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38"/>
      <c r="O22" s="59"/>
      <c r="P22" s="34">
        <f>AVERAGE(P7,P13,P19)</f>
        <v>5.7606266666666649E-2</v>
      </c>
    </row>
    <row r="23" spans="2:21" ht="54.95" customHeight="1" thickBot="1">
      <c r="B23" s="58"/>
      <c r="C23" s="5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67"/>
      <c r="P23" s="50"/>
    </row>
    <row r="24" spans="2:21" ht="54.95" customHeight="1" thickBot="1">
      <c r="B24" s="60" t="s">
        <v>8</v>
      </c>
      <c r="C24" s="61"/>
      <c r="D24" s="62">
        <v>0.5907</v>
      </c>
      <c r="E24" s="38"/>
      <c r="F24" s="60" t="s">
        <v>9</v>
      </c>
      <c r="G24" s="61"/>
      <c r="H24" s="62">
        <f>MAX(P18,P12,P6)-MIN(P18,P12,P6)</f>
        <v>1.2708333333333766E-2</v>
      </c>
      <c r="I24" s="63"/>
      <c r="J24" s="64" t="s">
        <v>10</v>
      </c>
      <c r="K24" s="65"/>
      <c r="L24" s="66">
        <f>SQRT(D25^2+H28^2)</f>
        <v>3.4109892921960878E-2</v>
      </c>
      <c r="M24" s="38"/>
      <c r="N24" s="67"/>
      <c r="O24" s="38"/>
    </row>
    <row r="25" spans="2:21" ht="54.95" customHeight="1" thickBot="1">
      <c r="B25" s="68" t="s">
        <v>11</v>
      </c>
      <c r="C25" s="69"/>
      <c r="D25" s="70">
        <f>P22*D24</f>
        <v>3.4028021719999989E-2</v>
      </c>
      <c r="E25" s="71"/>
      <c r="F25" s="68" t="s">
        <v>12</v>
      </c>
      <c r="G25" s="69"/>
      <c r="H25" s="70">
        <v>0.52300000000000002</v>
      </c>
      <c r="I25" s="63"/>
      <c r="J25" s="72" t="s">
        <v>13</v>
      </c>
      <c r="K25" s="73"/>
      <c r="L25" s="74">
        <f>L24^2/L37^2</f>
        <v>1.6097471515499139E-2</v>
      </c>
      <c r="M25" s="75"/>
    </row>
    <row r="26" spans="2:21" ht="54.95" customHeight="1" thickBot="1">
      <c r="B26" s="72" t="s">
        <v>14</v>
      </c>
      <c r="C26" s="76"/>
      <c r="D26" s="77">
        <f>D25^2/L37^2</f>
        <v>1.6020289350359568E-2</v>
      </c>
      <c r="E26" s="71"/>
      <c r="F26" s="68" t="s">
        <v>15</v>
      </c>
      <c r="G26" s="69"/>
      <c r="H26" s="78">
        <v>10</v>
      </c>
      <c r="I26" s="79"/>
      <c r="J26" s="80"/>
      <c r="K26" s="80"/>
      <c r="L26" s="81"/>
      <c r="M26" s="82"/>
    </row>
    <row r="27" spans="2:21" ht="54.95" customHeight="1" thickBot="1">
      <c r="B27" s="71"/>
      <c r="C27" s="71"/>
      <c r="D27" s="71"/>
      <c r="E27" s="71"/>
      <c r="F27" s="68" t="s">
        <v>16</v>
      </c>
      <c r="G27" s="69"/>
      <c r="H27" s="78">
        <v>3</v>
      </c>
      <c r="I27" s="79"/>
      <c r="J27" s="60" t="s">
        <v>17</v>
      </c>
      <c r="K27" s="61"/>
      <c r="L27" s="83">
        <v>1</v>
      </c>
      <c r="M27" s="82"/>
      <c r="O27" s="84" t="s">
        <v>20</v>
      </c>
      <c r="P27" s="85"/>
      <c r="Q27" s="86"/>
    </row>
    <row r="28" spans="2:21" ht="54.95" customHeight="1" thickBot="1">
      <c r="B28" s="71"/>
      <c r="C28" s="71"/>
      <c r="D28" s="71"/>
      <c r="E28" s="71"/>
      <c r="F28" s="68" t="s">
        <v>18</v>
      </c>
      <c r="G28" s="69"/>
      <c r="H28" s="70">
        <f>SQRT(((H24*H25)^2)-((D25*D25)/(H26*H27)))</f>
        <v>2.361891820309746E-3</v>
      </c>
      <c r="I28" s="79"/>
      <c r="J28" s="72" t="s">
        <v>19</v>
      </c>
      <c r="K28" s="73"/>
      <c r="L28" s="74">
        <f>(6*L24)/L27</f>
        <v>0.20465935753176528</v>
      </c>
      <c r="M28" s="82"/>
    </row>
    <row r="29" spans="2:21" ht="54.95" customHeight="1" thickBot="1">
      <c r="B29" s="71"/>
      <c r="C29" s="71"/>
      <c r="D29" s="71"/>
      <c r="E29" s="71"/>
      <c r="F29" s="72" t="s">
        <v>21</v>
      </c>
      <c r="G29" s="76"/>
      <c r="H29" s="87">
        <f>H28^2/L37^2</f>
        <v>7.718216513957341E-5</v>
      </c>
      <c r="I29" s="79"/>
      <c r="M29" s="82"/>
    </row>
    <row r="30" spans="2:21" ht="54.95" customHeight="1">
      <c r="B30" s="71"/>
      <c r="C30" s="71"/>
      <c r="D30" s="71"/>
      <c r="E30" s="71"/>
      <c r="F30" s="71"/>
      <c r="G30" s="71"/>
      <c r="H30" s="71"/>
      <c r="I30" s="79"/>
      <c r="J30" s="60" t="s">
        <v>22</v>
      </c>
      <c r="K30" s="61"/>
      <c r="L30" s="62">
        <v>0.31459999999999999</v>
      </c>
      <c r="M30" s="88"/>
    </row>
    <row r="31" spans="2:21" ht="54.95" customHeight="1">
      <c r="B31" s="71"/>
      <c r="C31" s="71"/>
      <c r="D31" s="71"/>
      <c r="E31" s="71"/>
      <c r="F31" s="71"/>
      <c r="G31" s="71"/>
      <c r="H31" s="71"/>
      <c r="I31" s="79"/>
      <c r="J31" s="89" t="s">
        <v>23</v>
      </c>
      <c r="K31" s="90"/>
      <c r="L31" s="91">
        <f>MAX(D21:M21)-MIN(D21:M21)</f>
        <v>0.84765444444444515</v>
      </c>
      <c r="M31" s="88"/>
    </row>
    <row r="32" spans="2:21" ht="54.95" customHeight="1" thickBot="1">
      <c r="B32" s="71"/>
      <c r="C32" s="71"/>
      <c r="D32" s="71"/>
      <c r="E32" s="71"/>
      <c r="I32" s="79"/>
      <c r="J32" s="68" t="s">
        <v>24</v>
      </c>
      <c r="K32" s="69"/>
      <c r="L32" s="92">
        <f>L30*L31</f>
        <v>0.26667208822222244</v>
      </c>
      <c r="M32" s="88"/>
      <c r="N32" s="79"/>
      <c r="O32" s="79"/>
      <c r="P32" s="79"/>
      <c r="Q32" s="79"/>
      <c r="R32" s="79"/>
      <c r="S32" s="79"/>
      <c r="T32" s="79"/>
      <c r="U32" s="79"/>
    </row>
    <row r="33" spans="10:13" ht="54.95" customHeight="1" thickBot="1">
      <c r="J33" s="72" t="s">
        <v>25</v>
      </c>
      <c r="K33" s="73"/>
      <c r="L33" s="74">
        <f>L32^2/L37^2</f>
        <v>0.98390252848450088</v>
      </c>
      <c r="M33" s="88"/>
    </row>
    <row r="34" spans="10:13" ht="54.95" customHeight="1" thickBot="1">
      <c r="J34" s="80"/>
      <c r="K34" s="80"/>
      <c r="L34" s="81"/>
      <c r="M34" s="88"/>
    </row>
    <row r="35" spans="10:13" ht="54.95" customHeight="1" thickBot="1">
      <c r="J35" s="93" t="s">
        <v>26</v>
      </c>
      <c r="K35" s="94"/>
      <c r="L35" s="95">
        <f>SQRT(2)*L32/L24</f>
        <v>11.056360825671607</v>
      </c>
      <c r="M35" s="79"/>
    </row>
    <row r="36" spans="10:13" ht="54.95" customHeight="1" thickBot="1">
      <c r="J36" s="80"/>
      <c r="K36" s="80"/>
      <c r="L36" s="96"/>
      <c r="M36" s="97" t="s">
        <v>27</v>
      </c>
    </row>
    <row r="37" spans="10:13" ht="54.95" customHeight="1" thickBot="1">
      <c r="J37" s="98" t="s">
        <v>28</v>
      </c>
      <c r="K37" s="99"/>
      <c r="L37" s="100">
        <f>SQRT(L24^2+L32^2)</f>
        <v>0.26884472736497628</v>
      </c>
      <c r="M37" s="101">
        <f>L25+L33</f>
        <v>1</v>
      </c>
    </row>
    <row r="38" spans="10:13" ht="54.95" customHeight="1"/>
    <row r="39" spans="10:13" ht="54.95" customHeight="1"/>
    <row r="40" spans="10:13" ht="54.95" customHeight="1"/>
    <row r="41" spans="10:13" ht="54.95" customHeight="1"/>
    <row r="42" spans="10:13" ht="54.95" customHeight="1"/>
    <row r="43" spans="10:13" ht="54.95" customHeight="1"/>
    <row r="44" spans="10:13" ht="54.95" customHeight="1"/>
    <row r="45" spans="10:13" ht="54.95" customHeight="1"/>
    <row r="46" spans="10:13" ht="54.95" customHeight="1"/>
    <row r="47" spans="10:13" ht="54.95" customHeight="1"/>
    <row r="48" spans="10:13" ht="54.95" customHeight="1"/>
    <row r="49" ht="54.95" customHeight="1"/>
    <row r="50" ht="54.95" customHeight="1"/>
    <row r="51" ht="54.95" customHeight="1"/>
    <row r="52" ht="54.95" customHeight="1"/>
    <row r="53" ht="54.95" customHeight="1"/>
    <row r="54" ht="5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</sheetData>
  <mergeCells count="25">
    <mergeCell ref="J32:K32"/>
    <mergeCell ref="J33:K33"/>
    <mergeCell ref="J35:K35"/>
    <mergeCell ref="J37:K37"/>
    <mergeCell ref="F28:G28"/>
    <mergeCell ref="J28:K28"/>
    <mergeCell ref="O27:Q27"/>
    <mergeCell ref="F29:G29"/>
    <mergeCell ref="J30:K30"/>
    <mergeCell ref="J31:K31"/>
    <mergeCell ref="B25:C25"/>
    <mergeCell ref="F25:G25"/>
    <mergeCell ref="J25:K25"/>
    <mergeCell ref="B26:C26"/>
    <mergeCell ref="F26:G26"/>
    <mergeCell ref="F27:G27"/>
    <mergeCell ref="J27:K27"/>
    <mergeCell ref="D1:M1"/>
    <mergeCell ref="B3:B7"/>
    <mergeCell ref="B9:B13"/>
    <mergeCell ref="B15:B19"/>
    <mergeCell ref="B21:C21"/>
    <mergeCell ref="B24:C24"/>
    <mergeCell ref="F24:G24"/>
    <mergeCell ref="J24:K24"/>
  </mergeCells>
  <printOptions horizontalCentered="1" verticalCentered="1"/>
  <pageMargins left="0.25" right="0.25" top="0.75" bottom="0.75" header="0.3" footer="0.3"/>
  <pageSetup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GR&amp;R, 10x3x3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Ray Harkins</cp:lastModifiedBy>
  <cp:lastPrinted>2025-05-03T01:23:43Z</cp:lastPrinted>
  <dcterms:created xsi:type="dcterms:W3CDTF">2025-05-03T01:17:19Z</dcterms:created>
  <dcterms:modified xsi:type="dcterms:W3CDTF">2025-05-03T01:24:04Z</dcterms:modified>
</cp:coreProperties>
</file>