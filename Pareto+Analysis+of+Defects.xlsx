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demy Courses\Excel Templates for Manufacturing Quality Professionals\Course Templates\"/>
    </mc:Choice>
  </mc:AlternateContent>
  <xr:revisionPtr revIDLastSave="0" documentId="8_{8428C603-AF23-40E4-9EE2-DF6D67039B75}" xr6:coauthVersionLast="47" xr6:coauthVersionMax="47" xr10:uidLastSave="{00000000-0000-0000-0000-000000000000}"/>
  <bookViews>
    <workbookView xWindow="-120" yWindow="-120" windowWidth="38640" windowHeight="21120" xr2:uid="{EC71ECEC-931D-4689-ABFE-49E85BAF98B2}"/>
  </bookViews>
  <sheets>
    <sheet name="Pareto Analysis of Defects" sheetId="1" r:id="rId1"/>
  </sheets>
  <definedNames>
    <definedName name="_xlchart.v1.0" hidden="1">'Pareto Analysis of Defects'!$E$3:$E$28</definedName>
    <definedName name="_xlchart.v1.1" hidden="1">'Pareto Analysis of Defects'!$F$2</definedName>
    <definedName name="_xlchart.v1.2" hidden="1">'Pareto Analysis of Defects'!$F$3:$F$28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G29" i="1" s="1"/>
  <c r="C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H3" i="1"/>
  <c r="H4" i="1" s="1"/>
  <c r="H5" i="1" s="1"/>
  <c r="G3" i="1"/>
  <c r="H6" i="1" l="1"/>
  <c r="H7" i="1" s="1"/>
  <c r="H8" i="1" s="1"/>
  <c r="H9" i="1" s="1"/>
  <c r="H10" i="1" s="1"/>
  <c r="H11" i="1" s="1"/>
  <c r="H12" i="1" s="1"/>
  <c r="H1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</calcChain>
</file>

<file path=xl/sharedStrings.xml><?xml version="1.0" encoding="utf-8"?>
<sst xmlns="http://schemas.openxmlformats.org/spreadsheetml/2006/main" count="61" uniqueCount="33">
  <si>
    <t>Defect Category</t>
  </si>
  <si>
    <t>Defect Qty</t>
  </si>
  <si>
    <t>% of Total</t>
  </si>
  <si>
    <t>Cumulative %</t>
  </si>
  <si>
    <t>Rank</t>
  </si>
  <si>
    <t>Air Vents</t>
  </si>
  <si>
    <t>Out of Flat</t>
  </si>
  <si>
    <t>Bar Seam</t>
  </si>
  <si>
    <t>Flash</t>
  </si>
  <si>
    <t>Cracked die</t>
  </si>
  <si>
    <t>Hardness</t>
  </si>
  <si>
    <t>Cutter mark</t>
  </si>
  <si>
    <t>DS Blowout</t>
  </si>
  <si>
    <t>Damage</t>
  </si>
  <si>
    <t>OD Dimension</t>
  </si>
  <si>
    <t>Diameter</t>
  </si>
  <si>
    <t>Underfill</t>
  </si>
  <si>
    <t>Fouling</t>
  </si>
  <si>
    <t>DS WTD</t>
  </si>
  <si>
    <t>Mixed</t>
  </si>
  <si>
    <t>Ejector Step NCU</t>
  </si>
  <si>
    <t>Face grind</t>
  </si>
  <si>
    <t>Flatness</t>
  </si>
  <si>
    <t>Mislabeled</t>
  </si>
  <si>
    <t>WTD</t>
  </si>
  <si>
    <t>Knife Carry</t>
  </si>
  <si>
    <t>Cracked Die</t>
  </si>
  <si>
    <t>Oblique</t>
  </si>
  <si>
    <t>Other</t>
  </si>
  <si>
    <t>Tag Wire</t>
  </si>
  <si>
    <t>Undersize OD</t>
  </si>
  <si>
    <t>WQC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</si>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</sst>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2" fillId="0" borderId="0" xfId="1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3" fontId="3" fillId="3" borderId="4" xfId="1" applyNumberFormat="1" applyFont="1" applyFill="1" applyBorder="1" applyAlignment="1">
      <alignment horizontal="center"/>
    </xf>
    <xf numFmtId="3" fontId="3" fillId="3" borderId="5" xfId="1" applyNumberFormat="1" applyFont="1" applyFill="1" applyBorder="1" applyAlignment="1">
      <alignment horizontal="center"/>
    </xf>
    <xf numFmtId="10" fontId="3" fillId="3" borderId="6" xfId="1" applyNumberFormat="1" applyFont="1" applyFill="1" applyBorder="1" applyAlignment="1">
      <alignment horizontal="center"/>
    </xf>
    <xf numFmtId="1" fontId="3" fillId="3" borderId="6" xfId="1" applyNumberFormat="1" applyFont="1" applyFill="1" applyBorder="1" applyAlignment="1">
      <alignment horizontal="center"/>
    </xf>
    <xf numFmtId="3" fontId="3" fillId="3" borderId="7" xfId="1" applyNumberFormat="1" applyFont="1" applyFill="1" applyBorder="1" applyAlignment="1">
      <alignment horizontal="center"/>
    </xf>
    <xf numFmtId="3" fontId="3" fillId="3" borderId="8" xfId="1" applyNumberFormat="1" applyFont="1" applyFill="1" applyBorder="1" applyAlignment="1">
      <alignment horizontal="center"/>
    </xf>
    <xf numFmtId="10" fontId="3" fillId="3" borderId="9" xfId="1" applyNumberFormat="1" applyFont="1" applyFill="1" applyBorder="1" applyAlignment="1">
      <alignment horizontal="center"/>
    </xf>
    <xf numFmtId="1" fontId="3" fillId="3" borderId="9" xfId="1" applyNumberFormat="1" applyFont="1" applyFill="1" applyBorder="1" applyAlignment="1">
      <alignment horizontal="center"/>
    </xf>
    <xf numFmtId="10" fontId="3" fillId="3" borderId="10" xfId="1" applyNumberFormat="1" applyFont="1" applyFill="1" applyBorder="1" applyAlignment="1">
      <alignment horizontal="center"/>
    </xf>
    <xf numFmtId="1" fontId="3" fillId="3" borderId="10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 wrapText="1"/>
    </xf>
    <xf numFmtId="10" fontId="4" fillId="2" borderId="3" xfId="1" applyNumberFormat="1" applyFont="1" applyFill="1" applyBorder="1" applyAlignment="1">
      <alignment horizontal="center" vertical="center" wrapText="1"/>
    </xf>
    <xf numFmtId="10" fontId="3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1BDCE3CB-C83F-4FDF-9A8C-A81FCD5DB0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Pareto Diagram of Defect Categories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Pareto Diagram of Defect Categories</a:t>
          </a:r>
        </a:p>
      </cx:txPr>
    </cx:title>
    <cx:plotArea>
      <cx:plotAreaRegion>
        <cx:series layoutId="clusteredColumn" uniqueId="{7A86B7F2-86F8-461A-B2F9-ADE8D2D24508}">
          <cx:tx>
            <cx:txData>
              <cx:f>_xlchart.v1.1</cx:f>
              <cx:v>Defect Qty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AD31228-6536-48F6-9E0E-039C0378D5D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15875</xdr:rowOff>
    </xdr:from>
    <xdr:to>
      <xdr:col>19</xdr:col>
      <xdr:colOff>603250</xdr:colOff>
      <xdr:row>27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0D7C3EB-57DF-4BA0-A95A-FD8F238D20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1650" y="844550"/>
              <a:ext cx="6089650" cy="456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7E73-62BE-4B90-AEB9-54625176E433}">
  <dimension ref="B1:I29"/>
  <sheetViews>
    <sheetView tabSelected="1" zoomScale="150" zoomScaleNormal="150" workbookViewId="0">
      <selection activeCell="L31" sqref="L31"/>
    </sheetView>
  </sheetViews>
  <sheetFormatPr defaultRowHeight="12.75" x14ac:dyDescent="0.2"/>
  <cols>
    <col min="1" max="1" width="3" style="1" customWidth="1"/>
    <col min="2" max="2" width="18.85546875" style="1" customWidth="1"/>
    <col min="3" max="3" width="18.7109375" style="1" customWidth="1"/>
    <col min="4" max="4" width="8.28515625" style="1" customWidth="1"/>
    <col min="5" max="6" width="18.5703125" style="1" customWidth="1"/>
    <col min="7" max="8" width="18.7109375" style="1" customWidth="1"/>
    <col min="9" max="9" width="9.140625" style="1"/>
    <col min="10" max="10" width="8.28515625" style="1" customWidth="1"/>
    <col min="11" max="16384" width="9.140625" style="1"/>
  </cols>
  <sheetData>
    <row r="1" spans="2:9" ht="13.5" thickBot="1" x14ac:dyDescent="0.25"/>
    <row r="2" spans="2:9" ht="36.75" customHeight="1" thickBot="1" x14ac:dyDescent="0.25">
      <c r="B2" s="2" t="s">
        <v>0</v>
      </c>
      <c r="C2" s="3" t="s">
        <v>1</v>
      </c>
      <c r="E2" s="2" t="s">
        <v>0</v>
      </c>
      <c r="F2" s="3" t="s">
        <v>1</v>
      </c>
      <c r="G2" s="4" t="s">
        <v>2</v>
      </c>
      <c r="H2" s="4" t="s">
        <v>3</v>
      </c>
      <c r="I2" s="4" t="s">
        <v>4</v>
      </c>
    </row>
    <row r="3" spans="2:9" ht="15" x14ac:dyDescent="0.25">
      <c r="B3" s="5" t="s">
        <v>5</v>
      </c>
      <c r="C3" s="6">
        <v>7</v>
      </c>
      <c r="E3" s="5" t="s">
        <v>6</v>
      </c>
      <c r="F3" s="6">
        <v>6962</v>
      </c>
      <c r="G3" s="7">
        <f>F3/$F$29</f>
        <v>0.19152155373992463</v>
      </c>
      <c r="H3" s="7">
        <f>G3</f>
        <v>0.19152155373992463</v>
      </c>
      <c r="I3" s="8">
        <v>1</v>
      </c>
    </row>
    <row r="4" spans="2:9" ht="15" x14ac:dyDescent="0.25">
      <c r="B4" s="9" t="s">
        <v>7</v>
      </c>
      <c r="C4" s="10">
        <v>1</v>
      </c>
      <c r="E4" s="9" t="s">
        <v>8</v>
      </c>
      <c r="F4" s="10">
        <v>6426</v>
      </c>
      <c r="G4" s="11">
        <f t="shared" ref="G4:G29" si="0">F4/$F$29</f>
        <v>0.17677642980935876</v>
      </c>
      <c r="H4" s="11">
        <f>G4+H3</f>
        <v>0.36829798354928339</v>
      </c>
      <c r="I4" s="12">
        <v>2</v>
      </c>
    </row>
    <row r="5" spans="2:9" ht="15" x14ac:dyDescent="0.25">
      <c r="B5" s="9" t="s">
        <v>9</v>
      </c>
      <c r="C5" s="10">
        <v>2</v>
      </c>
      <c r="E5" s="9" t="s">
        <v>10</v>
      </c>
      <c r="F5" s="10">
        <v>5100</v>
      </c>
      <c r="G5" s="11">
        <f t="shared" si="0"/>
        <v>0.14029875381695139</v>
      </c>
      <c r="H5" s="11">
        <f t="shared" ref="H5:H28" si="1">G5+H4</f>
        <v>0.50859673736623479</v>
      </c>
      <c r="I5" s="12">
        <v>3</v>
      </c>
    </row>
    <row r="6" spans="2:9" ht="15" x14ac:dyDescent="0.25">
      <c r="B6" s="9" t="s">
        <v>11</v>
      </c>
      <c r="C6" s="10">
        <v>3</v>
      </c>
      <c r="E6" s="9" t="s">
        <v>12</v>
      </c>
      <c r="F6" s="10">
        <v>4180</v>
      </c>
      <c r="G6" s="11">
        <f t="shared" si="0"/>
        <v>0.11498995901075623</v>
      </c>
      <c r="H6" s="11">
        <f t="shared" si="1"/>
        <v>0.62358669637699105</v>
      </c>
      <c r="I6" s="12">
        <v>4</v>
      </c>
    </row>
    <row r="7" spans="2:9" ht="15" x14ac:dyDescent="0.25">
      <c r="B7" s="9" t="s">
        <v>13</v>
      </c>
      <c r="C7" s="10">
        <v>16</v>
      </c>
      <c r="E7" s="9" t="s">
        <v>14</v>
      </c>
      <c r="F7" s="10">
        <v>2851</v>
      </c>
      <c r="G7" s="11">
        <f t="shared" si="0"/>
        <v>7.842975433963302E-2</v>
      </c>
      <c r="H7" s="11">
        <f t="shared" si="1"/>
        <v>0.70201645071662411</v>
      </c>
      <c r="I7" s="12">
        <v>5</v>
      </c>
    </row>
    <row r="8" spans="2:9" ht="15" x14ac:dyDescent="0.25">
      <c r="B8" s="9" t="s">
        <v>15</v>
      </c>
      <c r="C8" s="10">
        <v>1080</v>
      </c>
      <c r="E8" s="9" t="s">
        <v>16</v>
      </c>
      <c r="F8" s="10">
        <v>2723</v>
      </c>
      <c r="G8" s="11">
        <f t="shared" si="0"/>
        <v>7.4908530714423258E-2</v>
      </c>
      <c r="H8" s="11">
        <f t="shared" si="1"/>
        <v>0.77692498143104738</v>
      </c>
      <c r="I8" s="12">
        <v>6</v>
      </c>
    </row>
    <row r="9" spans="2:9" ht="15" x14ac:dyDescent="0.25">
      <c r="B9" s="9" t="s">
        <v>12</v>
      </c>
      <c r="C9" s="10">
        <v>4180</v>
      </c>
      <c r="E9" s="9" t="s">
        <v>17</v>
      </c>
      <c r="F9" s="10">
        <v>1655</v>
      </c>
      <c r="G9" s="11">
        <f t="shared" si="0"/>
        <v>4.5528321091579324E-2</v>
      </c>
      <c r="H9" s="11">
        <f t="shared" si="1"/>
        <v>0.82245330252262672</v>
      </c>
      <c r="I9" s="12">
        <v>7</v>
      </c>
    </row>
    <row r="10" spans="2:9" ht="15" x14ac:dyDescent="0.25">
      <c r="B10" s="9" t="s">
        <v>18</v>
      </c>
      <c r="C10" s="10">
        <v>1600</v>
      </c>
      <c r="E10" s="9" t="s">
        <v>19</v>
      </c>
      <c r="F10" s="10">
        <v>1603</v>
      </c>
      <c r="G10" s="11">
        <f t="shared" si="0"/>
        <v>4.4097823993837861E-2</v>
      </c>
      <c r="H10" s="11">
        <f t="shared" si="1"/>
        <v>0.8665511265164646</v>
      </c>
      <c r="I10" s="12">
        <v>8</v>
      </c>
    </row>
    <row r="11" spans="2:9" ht="15" x14ac:dyDescent="0.25">
      <c r="B11" s="9" t="s">
        <v>20</v>
      </c>
      <c r="C11" s="10">
        <v>209</v>
      </c>
      <c r="E11" s="9" t="s">
        <v>18</v>
      </c>
      <c r="F11" s="10">
        <v>1600</v>
      </c>
      <c r="G11" s="11">
        <f t="shared" si="0"/>
        <v>4.4015295315122008E-2</v>
      </c>
      <c r="H11" s="11">
        <f t="shared" si="1"/>
        <v>0.91056642183158665</v>
      </c>
      <c r="I11" s="12">
        <v>9</v>
      </c>
    </row>
    <row r="12" spans="2:9" ht="15" x14ac:dyDescent="0.25">
      <c r="B12" s="9" t="s">
        <v>21</v>
      </c>
      <c r="C12" s="10">
        <v>700</v>
      </c>
      <c r="E12" s="9" t="s">
        <v>15</v>
      </c>
      <c r="F12" s="10">
        <v>780</v>
      </c>
      <c r="G12" s="11">
        <f t="shared" si="0"/>
        <v>2.1457456466121978E-2</v>
      </c>
      <c r="H12" s="11">
        <f t="shared" si="1"/>
        <v>0.93202387829770861</v>
      </c>
      <c r="I12" s="12">
        <v>10</v>
      </c>
    </row>
    <row r="13" spans="2:9" ht="15" x14ac:dyDescent="0.25">
      <c r="B13" s="9" t="s">
        <v>8</v>
      </c>
      <c r="C13" s="10">
        <v>6426</v>
      </c>
      <c r="E13" s="9" t="s">
        <v>21</v>
      </c>
      <c r="F13" s="10">
        <v>700</v>
      </c>
      <c r="G13" s="11">
        <f t="shared" si="0"/>
        <v>1.9256691700365876E-2</v>
      </c>
      <c r="H13" s="11">
        <f t="shared" si="1"/>
        <v>0.95128056999807453</v>
      </c>
      <c r="I13" s="12">
        <v>11</v>
      </c>
    </row>
    <row r="14" spans="2:9" ht="15" x14ac:dyDescent="0.25">
      <c r="B14" s="9" t="s">
        <v>22</v>
      </c>
      <c r="C14" s="10">
        <v>10</v>
      </c>
      <c r="E14" s="9" t="s">
        <v>23</v>
      </c>
      <c r="F14" s="10">
        <v>700</v>
      </c>
      <c r="G14" s="11">
        <f t="shared" si="0"/>
        <v>1.9256691700365876E-2</v>
      </c>
      <c r="H14" s="11">
        <f t="shared" si="1"/>
        <v>0.97053726169844046</v>
      </c>
      <c r="I14" s="12">
        <v>12</v>
      </c>
    </row>
    <row r="15" spans="2:9" ht="15" x14ac:dyDescent="0.25">
      <c r="B15" s="9" t="s">
        <v>17</v>
      </c>
      <c r="C15" s="10">
        <v>1655</v>
      </c>
      <c r="E15" s="9" t="s">
        <v>24</v>
      </c>
      <c r="F15" s="10">
        <v>616</v>
      </c>
      <c r="G15" s="11">
        <f t="shared" si="0"/>
        <v>1.6945888696321972E-2</v>
      </c>
      <c r="H15" s="11">
        <f t="shared" si="1"/>
        <v>0.98748315039476242</v>
      </c>
      <c r="I15" s="12">
        <v>13</v>
      </c>
    </row>
    <row r="16" spans="2:9" ht="15" x14ac:dyDescent="0.25">
      <c r="B16" s="9" t="s">
        <v>10</v>
      </c>
      <c r="C16" s="10">
        <v>4800</v>
      </c>
      <c r="E16" s="9" t="s">
        <v>20</v>
      </c>
      <c r="F16" s="10">
        <v>209</v>
      </c>
      <c r="G16" s="11">
        <f t="shared" si="0"/>
        <v>5.7494979505378118E-3</v>
      </c>
      <c r="H16" s="11">
        <f t="shared" si="1"/>
        <v>0.99323264834530023</v>
      </c>
      <c r="I16" s="12">
        <v>14</v>
      </c>
    </row>
    <row r="17" spans="2:9" ht="15" x14ac:dyDescent="0.25">
      <c r="B17" s="9" t="s">
        <v>25</v>
      </c>
      <c r="C17" s="10">
        <v>15</v>
      </c>
      <c r="E17" s="9" t="s">
        <v>26</v>
      </c>
      <c r="F17" s="10">
        <v>177</v>
      </c>
      <c r="G17" s="11">
        <f t="shared" si="0"/>
        <v>4.8691920442353719E-3</v>
      </c>
      <c r="H17" s="11">
        <f t="shared" si="1"/>
        <v>0.99810184038953564</v>
      </c>
      <c r="I17" s="12">
        <v>15</v>
      </c>
    </row>
    <row r="18" spans="2:9" ht="15" x14ac:dyDescent="0.25">
      <c r="B18" s="9" t="s">
        <v>23</v>
      </c>
      <c r="C18" s="10">
        <v>700</v>
      </c>
      <c r="E18" s="9" t="s">
        <v>13</v>
      </c>
      <c r="F18" s="10">
        <v>16</v>
      </c>
      <c r="G18" s="11">
        <f t="shared" si="0"/>
        <v>4.4015295315122003E-4</v>
      </c>
      <c r="H18" s="11">
        <f t="shared" si="1"/>
        <v>0.9985419933426869</v>
      </c>
      <c r="I18" s="12">
        <v>16</v>
      </c>
    </row>
    <row r="19" spans="2:9" ht="15" x14ac:dyDescent="0.25">
      <c r="B19" s="9" t="s">
        <v>19</v>
      </c>
      <c r="C19" s="10">
        <v>1603</v>
      </c>
      <c r="E19" s="9" t="s">
        <v>25</v>
      </c>
      <c r="F19" s="10">
        <v>15</v>
      </c>
      <c r="G19" s="11">
        <f t="shared" si="0"/>
        <v>4.1264339357926881E-4</v>
      </c>
      <c r="H19" s="11">
        <f t="shared" si="1"/>
        <v>0.99895463673626617</v>
      </c>
      <c r="I19" s="12">
        <v>17</v>
      </c>
    </row>
    <row r="20" spans="2:9" ht="15" x14ac:dyDescent="0.25">
      <c r="B20" s="9" t="s">
        <v>27</v>
      </c>
      <c r="C20" s="10">
        <v>10</v>
      </c>
      <c r="E20" s="9" t="s">
        <v>22</v>
      </c>
      <c r="F20" s="10">
        <v>10</v>
      </c>
      <c r="G20" s="11">
        <f t="shared" si="0"/>
        <v>2.7509559571951251E-4</v>
      </c>
      <c r="H20" s="11">
        <f t="shared" si="1"/>
        <v>0.99922973233198564</v>
      </c>
      <c r="I20" s="12">
        <v>18</v>
      </c>
    </row>
    <row r="21" spans="2:9" ht="15" x14ac:dyDescent="0.25">
      <c r="B21" s="9" t="s">
        <v>14</v>
      </c>
      <c r="C21" s="10">
        <v>2851</v>
      </c>
      <c r="E21" s="9" t="s">
        <v>27</v>
      </c>
      <c r="F21" s="10">
        <v>10</v>
      </c>
      <c r="G21" s="11">
        <f t="shared" si="0"/>
        <v>2.7509559571951251E-4</v>
      </c>
      <c r="H21" s="11">
        <f t="shared" si="1"/>
        <v>0.99950482792770512</v>
      </c>
      <c r="I21" s="12">
        <v>19</v>
      </c>
    </row>
    <row r="22" spans="2:9" ht="15" x14ac:dyDescent="0.25">
      <c r="B22" s="9" t="s">
        <v>28</v>
      </c>
      <c r="C22" s="10">
        <v>177</v>
      </c>
      <c r="E22" s="9" t="s">
        <v>5</v>
      </c>
      <c r="F22" s="10">
        <v>7</v>
      </c>
      <c r="G22" s="11">
        <f t="shared" si="0"/>
        <v>1.9256691700365877E-4</v>
      </c>
      <c r="H22" s="11">
        <f t="shared" si="1"/>
        <v>0.99969739484470876</v>
      </c>
      <c r="I22" s="12">
        <v>20</v>
      </c>
    </row>
    <row r="23" spans="2:9" ht="15" x14ac:dyDescent="0.25">
      <c r="B23" s="9" t="s">
        <v>6</v>
      </c>
      <c r="C23" s="10">
        <v>6962</v>
      </c>
      <c r="E23" s="9" t="s">
        <v>11</v>
      </c>
      <c r="F23" s="10">
        <v>3</v>
      </c>
      <c r="G23" s="11">
        <f t="shared" si="0"/>
        <v>8.2528678715853762E-5</v>
      </c>
      <c r="H23" s="11">
        <f t="shared" si="1"/>
        <v>0.9997799235234246</v>
      </c>
      <c r="I23" s="12">
        <v>21</v>
      </c>
    </row>
    <row r="24" spans="2:9" ht="15" x14ac:dyDescent="0.25">
      <c r="B24" s="9" t="s">
        <v>29</v>
      </c>
      <c r="C24" s="10">
        <v>1</v>
      </c>
      <c r="E24" s="9" t="s">
        <v>28</v>
      </c>
      <c r="F24" s="10">
        <v>2</v>
      </c>
      <c r="G24" s="11">
        <f t="shared" si="0"/>
        <v>5.5019119143902504E-5</v>
      </c>
      <c r="H24" s="11">
        <f t="shared" si="1"/>
        <v>0.99983494264256845</v>
      </c>
      <c r="I24" s="12">
        <v>22</v>
      </c>
    </row>
    <row r="25" spans="2:9" ht="15" x14ac:dyDescent="0.25">
      <c r="B25" s="9" t="s">
        <v>16</v>
      </c>
      <c r="C25" s="10">
        <v>2723</v>
      </c>
      <c r="E25" s="9" t="s">
        <v>30</v>
      </c>
      <c r="F25" s="10">
        <v>2</v>
      </c>
      <c r="G25" s="11">
        <f t="shared" si="0"/>
        <v>5.5019119143902504E-5</v>
      </c>
      <c r="H25" s="11">
        <f t="shared" si="1"/>
        <v>0.9998899617617123</v>
      </c>
      <c r="I25" s="12">
        <v>23</v>
      </c>
    </row>
    <row r="26" spans="2:9" ht="15" x14ac:dyDescent="0.25">
      <c r="B26" s="9" t="s">
        <v>30</v>
      </c>
      <c r="C26" s="10">
        <v>2</v>
      </c>
      <c r="E26" s="9" t="s">
        <v>31</v>
      </c>
      <c r="F26" s="10">
        <v>2</v>
      </c>
      <c r="G26" s="11">
        <f t="shared" si="0"/>
        <v>5.5019119143902504E-5</v>
      </c>
      <c r="H26" s="11">
        <f t="shared" si="1"/>
        <v>0.99994498088085615</v>
      </c>
      <c r="I26" s="12">
        <v>24</v>
      </c>
    </row>
    <row r="27" spans="2:9" ht="15" x14ac:dyDescent="0.25">
      <c r="B27" s="9" t="s">
        <v>31</v>
      </c>
      <c r="C27" s="10">
        <v>2</v>
      </c>
      <c r="E27" s="9" t="s">
        <v>7</v>
      </c>
      <c r="F27" s="10">
        <v>1</v>
      </c>
      <c r="G27" s="11">
        <f t="shared" si="0"/>
        <v>2.7509559571951252E-5</v>
      </c>
      <c r="H27" s="11">
        <f t="shared" si="1"/>
        <v>0.99997249044042813</v>
      </c>
      <c r="I27" s="12">
        <v>25</v>
      </c>
    </row>
    <row r="28" spans="2:9" ht="15.75" thickBot="1" x14ac:dyDescent="0.3">
      <c r="B28" s="9" t="s">
        <v>24</v>
      </c>
      <c r="C28" s="10">
        <v>616</v>
      </c>
      <c r="E28" s="9" t="s">
        <v>29</v>
      </c>
      <c r="F28" s="10">
        <v>1</v>
      </c>
      <c r="G28" s="11">
        <f t="shared" si="0"/>
        <v>2.7509559571951252E-5</v>
      </c>
      <c r="H28" s="13">
        <f t="shared" si="1"/>
        <v>1</v>
      </c>
      <c r="I28" s="14">
        <v>26</v>
      </c>
    </row>
    <row r="29" spans="2:9" ht="16.5" thickBot="1" x14ac:dyDescent="0.3">
      <c r="B29" s="15" t="s">
        <v>32</v>
      </c>
      <c r="C29" s="16">
        <f>SUM(C3:C28)</f>
        <v>36351</v>
      </c>
      <c r="E29" s="15" t="s">
        <v>32</v>
      </c>
      <c r="F29" s="16">
        <f>SUM(F3:F28)</f>
        <v>36351</v>
      </c>
      <c r="G29" s="17">
        <f t="shared" si="0"/>
        <v>1</v>
      </c>
      <c r="H29" s="1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Pareto Analysis of 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Ray Harkins</cp:lastModifiedBy>
  <dcterms:created xsi:type="dcterms:W3CDTF">2025-05-02T02:39:36Z</dcterms:created>
  <dcterms:modified xsi:type="dcterms:W3CDTF">2025-05-02T02:39:54Z</dcterms:modified>
</cp:coreProperties>
</file>